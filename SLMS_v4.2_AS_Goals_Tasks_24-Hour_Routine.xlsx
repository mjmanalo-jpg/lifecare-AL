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tables/table8.xml" ContentType="application/vnd.openxmlformats-officedocument.spreadsheetml.table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41eb1fd5c48407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4d121d9c644f44c2"/>
    <x:sheet xmlns:r="http://schemas.openxmlformats.org/officeDocument/2006/relationships" name="Domain-Level Map" sheetId="2" r:id="R0c19aba3e7ce4512"/>
    <x:sheet xmlns:r="http://schemas.openxmlformats.org/officeDocument/2006/relationships" name="Task Library" sheetId="3" r:id="R68d2aa3085324f85"/>
    <x:sheet xmlns:r="http://schemas.openxmlformats.org/officeDocument/2006/relationships" name="Condition Bundles" sheetId="4" r:id="R824f2187acec4892"/>
    <x:sheet xmlns:r="http://schemas.openxmlformats.org/officeDocument/2006/relationships" name="_Lookup" sheetId="5" r:id="R63767ea26b604622"/>
    <x:sheet xmlns:r="http://schemas.openxmlformats.org/officeDocument/2006/relationships" name="Care Plan Builder" sheetId="6" r:id="Refb3bedc09d045fd"/>
    <x:sheet xmlns:r="http://schemas.openxmlformats.org/officeDocument/2006/relationships" name="AS Care Delivery Map" sheetId="7" r:id="R35193e9dfc0e4c7a"/>
    <x:sheet xmlns:r="http://schemas.openxmlformats.org/officeDocument/2006/relationships" name="Condition Interventions" sheetId="8" r:id="R4851ec2aac654da0"/>
    <x:sheet xmlns:r="http://schemas.openxmlformats.org/officeDocument/2006/relationships" name="24-Hour Routine" sheetId="9" r:id="Rba4add3ea90f4988"/>
    <x:sheet xmlns:r="http://schemas.openxmlformats.org/officeDocument/2006/relationships" name="Shift Rules" sheetId="10" r:id="Ra7af34b1dfef4226"/>
    <x:sheet xmlns:r="http://schemas.openxmlformats.org/officeDocument/2006/relationships" name="High-Frequency Tasks" sheetId="11" r:id="Re35dc3f9f39c4a4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mm/dd/yyyy"/>
  </x:numFmts>
  <x:fonts count="14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9"/>
      <x:name val="Carlito"/>
    </x:font>
    <x:font>
      <x:b/>
      <x:sz val="11"/>
      <x:color rgb="FF111827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sz val="10"/>
      <x:color rgb="FF0F172A"/>
      <x:name val="Aptos"/>
    </x:font>
    <x:font>
      <x:b/>
      <x:sz val="10"/>
      <x:color rgb="FFFFFFFF"/>
      <x:name val="Aptos"/>
    </x:font>
    <x:font>
      <x:b/>
      <x:sz val="16"/>
      <x:color rgb="FFFFFFFF"/>
      <x:name val="Aptos"/>
    </x:font>
    <x:font>
      <x:i/>
      <x:sz val="10"/>
      <x:color rgb="FF0F172A"/>
      <x:name val="Aptos"/>
    </x:font>
    <x:font>
      <x:b/>
      <x:i/>
      <x:sz val="14"/>
      <x:color rgb="FFFFFFFF"/>
      <x:name val="Carlito"/>
    </x:font>
    <x:font>
      <x:b/>
      <x:sz val="11"/>
      <x:color rgb="FF0F172A"/>
      <x:name val="Carlito"/>
    </x:font>
    <x:font>
      <x:b/>
      <x:sz val="12"/>
      <x:color rgb="FFFFFFFF"/>
      <x:name val="Aptos"/>
    </x:font>
    <x:font>
      <x:b/>
      <x:sz val="10"/>
      <x:color rgb="FF0F172A"/>
      <x:name val="Aptos"/>
    </x:font>
  </x:fonts>
  <x:fills count="13">
    <x:fill>
      <x:patternFill patternType="none"/>
    </x:fill>
    <x:fill>
      <x:patternFill patternType="gray125"/>
    </x:fill>
    <x:fill>
      <x:patternFill patternType="solid">
        <x:fgColor rgb="FF4F46E5"/>
      </x:patternFill>
    </x:fill>
    <x:fill>
      <x:patternFill patternType="solid">
        <x:fgColor rgb="FFEEF2FF"/>
      </x:patternFill>
    </x:fill>
    <x:fill>
      <x:patternFill patternType="solid">
        <x:fgColor rgb="FFE5E7EB"/>
      </x:patternFill>
    </x:fill>
    <x:fill>
      <x:patternFill patternType="solid">
        <x:fgColor rgb="FF1D4ED8"/>
      </x:patternFill>
    </x:fill>
    <x:fill>
      <x:patternFill patternType="solid">
        <x:fgColor rgb="FFEAF2FF"/>
      </x:patternFill>
    </x:fill>
    <x:fill>
      <x:patternFill patternType="solid">
        <x:fgColor rgb="FFDCE6F1"/>
      </x:patternFill>
    </x:fill>
    <x:fill>
      <x:patternFill patternType="solid">
        <x:fgColor rgb="FFF8FAFC"/>
      </x:patternFill>
    </x:fill>
    <x:fill>
      <x:patternFill patternType="solid">
        <x:fgColor rgb="FFFFF7D6"/>
      </x:patternFill>
    </x:fill>
    <x:fill>
      <x:patternFill patternType="solid">
        <x:fgColor rgb="FF1D4ED8"/>
      </x:patternFill>
    </x:fill>
    <x:fill>
      <x:patternFill patternType="solid">
        <x:fgColor rgb="FFEAF2FF"/>
      </x:patternFill>
    </x:fill>
    <x:fill>
      <x:patternFill patternType="solid">
        <x:fgColor rgb="FFFFF7D6"/>
      </x:patternFill>
    </x:fill>
  </x:fills>
  <x:borders count="2">
    <x:border/>
    <x:border/>
  </x:borders>
  <x:cellStyleXfs count="1">
    <x:xf numFmtId="0" fontId="0" fillId="0" borderId="0"/>
  </x:cellStyleXfs>
  <x:cellXfs count="8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wrapText="1"/>
    </x:xf>
    <x:xf numFmtId="0" fontId="4" fillId="2" borderId="1" xfId="0" applyNumberFormat="1" applyFont="1" applyFill="1" applyBorder="1" applyAlignment="1">
      <x:alignment horizontal="center" wrapText="1"/>
    </x:xf>
    <x:xf numFmtId="0" fontId="4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horizontal="center" wrapText="1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vertical="center"/>
    </x:xf>
    <x:xf numFmtId="0" fontId="5" fillId="2" borderId="1" xfId="0" applyNumberFormat="1" applyFont="1" applyFill="1" applyBorder="1"/>
    <x:xf numFmtId="0" fontId="5" fillId="2" borderId="1" xfId="0" applyNumberFormat="1" applyFont="1" applyFill="1" applyBorder="1" applyAlignment="1">
      <x:alignment vertical="center"/>
    </x:xf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 wrapText="1"/>
    </x:xf>
    <x:xf numFmtId="0" fontId="6" fillId="5" borderId="0" xfId="0" applyNumberFormat="1" applyFont="1" applyFill="1" applyBorder="1" applyAlignment="1">
      <x:alignment vertical="top" wrapText="1"/>
    </x:xf>
    <x:xf numFmtId="0" fontId="7" fillId="5" borderId="0" xfId="0" applyNumberFormat="1" applyFont="1" applyFill="1" applyBorder="1" applyAlignment="1">
      <x:alignment vertical="top" wrapText="1"/>
    </x:xf>
    <x:xf numFmtId="0" fontId="8" fillId="5" borderId="0" xfId="0" applyNumberFormat="1" applyFont="1" applyFill="1" applyBorder="1" applyAlignment="1">
      <x:alignment vertical="top" wrapText="1"/>
    </x:xf>
    <x:xf numFmtId="0" fontId="8" fillId="5" borderId="0" xfId="0" applyNumberFormat="1" applyFont="1" applyFill="1" applyBorder="1" applyAlignment="1">
      <x:alignment horizontal="left" vertical="top" wrapText="1"/>
    </x:xf>
    <x:xf numFmtId="0" fontId="6" fillId="6" borderId="0" xfId="0" applyNumberFormat="1" applyFont="1" applyFill="1" applyBorder="1" applyAlignment="1">
      <x:alignment vertical="top" wrapText="1"/>
    </x:xf>
    <x:xf numFmtId="0" fontId="9" fillId="6" borderId="0" xfId="0" applyNumberFormat="1" applyFont="1" applyFill="1" applyBorder="1" applyAlignment="1">
      <x:alignment vertical="top" wrapText="1"/>
    </x:xf>
    <x:xf numFmtId="0" fontId="1" fillId="5" borderId="0" xfId="0" applyNumberFormat="1" applyFont="1" applyFill="1" applyBorder="1" applyAlignment="1">
      <x:alignment horizontal="left" vertical="center"/>
    </x:xf>
    <x:xf numFmtId="0" fontId="2" fillId="5" borderId="0" xfId="0" applyNumberFormat="1" applyFont="1" applyFill="1" applyBorder="1" applyAlignment="1">
      <x:alignment vertical="center"/>
    </x:xf>
    <x:xf numFmtId="0" fontId="5" fillId="5" borderId="0" xfId="0" applyNumberFormat="1" applyFont="1" applyFill="1" applyBorder="1" applyAlignment="1">
      <x:alignment horizontal="left" vertical="center"/>
    </x:xf>
    <x:xf numFmtId="0" fontId="10" fillId="5" borderId="0" xfId="0" applyNumberFormat="1" applyFont="1" applyFill="1" applyBorder="1" applyAlignment="1">
      <x:alignment vertical="center"/>
    </x:xf>
    <x:xf numFmtId="0" fontId="5" fillId="5" borderId="0" xfId="0" applyNumberFormat="1" applyFont="1" applyFill="1" applyBorder="1" applyAlignment="1">
      <x:alignment horizontal="left" vertical="center" wrapText="1"/>
    </x:xf>
    <x:xf numFmtId="0" fontId="10" fillId="5" borderId="0" xfId="0" applyNumberFormat="1" applyFont="1" applyFill="1" applyBorder="1" applyAlignment="1">
      <x:alignment vertical="center" wrapText="1"/>
    </x:xf>
    <x:xf numFmtId="0" fontId="3" fillId="7" borderId="0" xfId="0" applyNumberFormat="1" applyFont="1" applyFill="1" applyBorder="1" applyAlignment="1">
      <x:alignment vertical="center"/>
    </x:xf>
    <x:xf numFmtId="0" fontId="0" fillId="7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11" fillId="7" borderId="0" xfId="0" applyNumberFormat="1" applyFont="1" applyFill="1" applyBorder="1" applyAlignment="1">
      <x:alignment vertical="center"/>
    </x:xf>
    <x:xf numFmtId="0" fontId="11" fillId="7" borderId="0" xfId="0" applyNumberFormat="1" applyFont="1" applyFill="1" applyBorder="1" applyAlignment="1">
      <x:alignment wrapText="1"/>
    </x:xf>
    <x:xf numFmtId="0" fontId="11" fillId="7" borderId="0" xfId="0" applyNumberFormat="1" applyFont="1" applyFill="1" applyBorder="1"/>
    <x:xf numFmtId="0" fontId="11" fillId="7" borderId="0" xfId="0" applyNumberFormat="1" applyFont="1" applyFill="1" applyBorder="1" applyAlignment="1">
      <x:alignment vertical="center" wrapText="1"/>
    </x:xf>
    <x:xf numFmtId="0" fontId="3" fillId="8" borderId="0" xfId="0" applyNumberFormat="1" applyFont="1" applyFill="1" applyBorder="1" applyAlignment="1">
      <x:alignment vertical="center"/>
    </x:xf>
    <x:xf numFmtId="0" fontId="0" fillId="8" borderId="0" xfId="0" applyNumberFormat="1" applyFont="1" applyFill="1" applyBorder="1" applyAlignment="1">
      <x:alignment wrapText="1"/>
    </x:xf>
    <x:xf numFmtId="0" fontId="0" fillId="8" borderId="0" xfId="0" applyNumberFormat="1" applyFont="1" applyFill="1" applyBorder="1"/>
    <x:xf numFmtId="0" fontId="3" fillId="8" borderId="0" xfId="0" applyNumberFormat="1" applyFont="1" applyFill="1" applyBorder="1" applyAlignment="1">
      <x:alignment vertical="center" wrapText="1"/>
    </x:xf>
    <x:xf numFmtId="0" fontId="6" fillId="9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wrapText="1"/>
    </x:xf>
    <x:xf numFmtId="0" fontId="6" fillId="10" borderId="0" xfId="0" applyNumberFormat="1" applyFont="1" applyFill="1" applyBorder="1" applyAlignment="1">
      <x:alignment vertical="top" wrapText="1"/>
    </x:xf>
    <x:xf numFmtId="0" fontId="8" fillId="10" borderId="0" xfId="0" applyNumberFormat="1" applyFont="1" applyFill="1" applyBorder="1" applyAlignment="1">
      <x:alignment vertical="top" wrapText="1"/>
    </x:xf>
    <x:xf numFmtId="0" fontId="6" fillId="11" borderId="0" xfId="0" applyNumberFormat="1" applyFont="1" applyFill="1" applyBorder="1" applyAlignment="1">
      <x:alignment vertical="top" wrapText="1"/>
    </x:xf>
    <x:xf numFmtId="0" fontId="9" fillId="11" borderId="0" xfId="0" applyNumberFormat="1" applyFont="1" applyFill="1" applyBorder="1" applyAlignment="1">
      <x:alignment vertical="top" wrapText="1"/>
    </x:xf>
    <x:xf numFmtId="0" fontId="12" fillId="10" borderId="0" xfId="0" applyNumberFormat="1" applyFont="1" applyFill="1" applyBorder="1" applyAlignment="1">
      <x:alignment vertical="top" wrapText="1"/>
    </x:xf>
    <x:xf numFmtId="0" fontId="6" fillId="12" borderId="0" xfId="0" applyNumberFormat="1" applyFont="1" applyFill="1" applyBorder="1" applyAlignment="1">
      <x:alignment vertical="top" wrapText="1"/>
    </x:xf>
    <x:xf numFmtId="0" fontId="13" fillId="12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26">
    <x:dxf>
      <x:fill>
        <x:patternFill>
          <x:bgColor rgb="FFE8F5E9"/>
        </x:patternFill>
      </x:fill>
    </x:dxf>
    <x:dxf>
      <x:fill>
        <x:patternFill>
          <x:bgColor rgb="FFE8F0FE"/>
        </x:patternFill>
      </x:fill>
    </x:dxf>
    <x:dxf>
      <x:fill>
        <x:patternFill>
          <x:bgColor rgb="FFFFF7D6"/>
        </x:patternFill>
      </x:fill>
    </x:dxf>
    <x:dxf>
      <x:fill>
        <x:patternFill>
          <x:bgColor rgb="FFFDEBD0"/>
        </x:patternFill>
      </x:fill>
    </x:dxf>
    <x:dxf>
      <x:fill>
        <x:patternFill>
          <x:bgColor rgb="FFFDE2E2"/>
        </x:patternFill>
      </x:fill>
    </x:dxf>
    <x:dxf>
      <x:fill>
        <x:patternFill>
          <x:bgColor rgb="FFE8F5E9"/>
        </x:patternFill>
      </x:fill>
    </x:dxf>
    <x:dxf>
      <x:fill>
        <x:patternFill>
          <x:bgColor rgb="FFE8F0FE"/>
        </x:patternFill>
      </x:fill>
    </x:dxf>
    <x:dxf>
      <x:fill>
        <x:patternFill>
          <x:bgColor rgb="FFFFF7D6"/>
        </x:patternFill>
      </x:fill>
    </x:dxf>
    <x:dxf>
      <x:fill>
        <x:patternFill>
          <x:bgColor rgb="FFFDEBD0"/>
        </x:patternFill>
      </x:fill>
    </x:dxf>
    <x:dxf>
      <x:fill>
        <x:patternFill>
          <x:bgColor rgb="FFFDE2E2"/>
        </x:patternFill>
      </x:fill>
    </x:dxf>
    <x:dxf>
      <x:fill>
        <x:patternFill>
          <x:bgColor rgb="FFE8F5E9"/>
        </x:patternFill>
      </x:fill>
    </x:dxf>
    <x:dxf>
      <x:fill>
        <x:patternFill>
          <x:bgColor rgb="FFE8F0FE"/>
        </x:patternFill>
      </x:fill>
    </x:dxf>
    <x:dxf>
      <x:fill>
        <x:patternFill>
          <x:bgColor rgb="FFFFF7D6"/>
        </x:patternFill>
      </x:fill>
    </x:dxf>
    <x:dxf>
      <x:fill>
        <x:patternFill>
          <x:bgColor rgb="FFFDEBD0"/>
        </x:patternFill>
      </x:fill>
    </x:dxf>
    <x:dxf>
      <x:fill>
        <x:patternFill>
          <x:bgColor rgb="FFFDE2E2"/>
        </x:patternFill>
      </x:fill>
    </x:dxf>
    <x:dxf>
      <x:fill>
        <x:patternFill>
          <x:bgColor rgb="FFE8F5E9"/>
        </x:patternFill>
      </x:fill>
    </x:dxf>
    <x:dxf>
      <x:fill>
        <x:patternFill>
          <x:bgColor rgb="FFE8F0FE"/>
        </x:patternFill>
      </x:fill>
    </x:dxf>
    <x:dxf>
      <x:fill>
        <x:patternFill>
          <x:bgColor rgb="FFFFF7D6"/>
        </x:patternFill>
      </x:fill>
    </x:dxf>
    <x:dxf>
      <x:fill>
        <x:patternFill>
          <x:bgColor rgb="FFFDEBD0"/>
        </x:patternFill>
      </x:fill>
    </x:dxf>
    <x:dxf>
      <x:fill>
        <x:patternFill>
          <x:bgColor rgb="FFFDE2E2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991B1B"/>
      </x:font>
      <x:fill>
        <x:patternFill>
          <x:bgColor rgb="FFFECACA"/>
        </x:patternFill>
      </x:fill>
    </x:dxf>
    <x:dxf>
      <x:font>
        <x:color rgb="FF166534"/>
      </x:font>
      <x:fill>
        <x:patternFill>
          <x:bgColor rgb="FFDCFCE7"/>
        </x:patternFill>
      </x:fill>
    </x:dxf>
    <x:dxf>
      <x:font>
        <x:color rgb="FF166534"/>
      </x:font>
      <x:fill>
        <x:patternFill patternType="solid">
          <x:bgColor rgb="FFDCFCE7"/>
        </x:patternFill>
      </x:fill>
    </x:dxf>
    <x:dxf>
      <x:font>
        <x:b/>
        <x:color rgb="FF991B1B"/>
      </x:font>
      <x:fill>
        <x:patternFill patternType="solid">
          <x:bgColor rgb="FFFECACA"/>
        </x:patternFill>
      </x:fill>
    </x:dxf>
    <x:dxf>
      <x:font>
        <x:color rgb="FF92400E"/>
      </x:font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34439d8c55f4c70" /><Relationship Type="http://schemas.openxmlformats.org/officeDocument/2006/relationships/theme" Target="/xl/theme/theme1.xml" Id="Rfb6fb8895dda4f0e" /><Relationship Type="http://schemas.openxmlformats.org/officeDocument/2006/relationships/sharedStrings" Target="/xl/sharedStrings.xml" Id="Rf24cca0539ec4f92" /><Relationship Type="http://schemas.openxmlformats.org/officeDocument/2006/relationships/worksheet" Target="/xl/worksheets/sheet1.xml" Id="R4d121d9c644f44c2" /><Relationship Type="http://schemas.openxmlformats.org/officeDocument/2006/relationships/worksheet" Target="/xl/worksheets/sheet2.xml" Id="R0c19aba3e7ce4512" /><Relationship Type="http://schemas.openxmlformats.org/officeDocument/2006/relationships/worksheet" Target="/xl/worksheets/sheet3.xml" Id="R68d2aa3085324f85" /><Relationship Type="http://schemas.openxmlformats.org/officeDocument/2006/relationships/worksheet" Target="/xl/worksheets/sheet4.xml" Id="R824f2187acec4892" /><Relationship Type="http://schemas.openxmlformats.org/officeDocument/2006/relationships/worksheet" Target="/xl/worksheets/sheet5.xml" Id="R63767ea26b604622" /><Relationship Type="http://schemas.openxmlformats.org/officeDocument/2006/relationships/worksheet" Target="/xl/worksheets/sheet6.xml" Id="Refb3bedc09d045fd" /><Relationship Type="http://schemas.openxmlformats.org/officeDocument/2006/relationships/worksheet" Target="/xl/worksheets/sheet7.xml" Id="R35193e9dfc0e4c7a" /><Relationship Type="http://schemas.openxmlformats.org/officeDocument/2006/relationships/worksheet" Target="/xl/worksheets/sheet8.xml" Id="R4851ec2aac654da0" /><Relationship Type="http://schemas.openxmlformats.org/officeDocument/2006/relationships/worksheet" Target="/xl/worksheets/sheet9.xml" Id="Rba4add3ea90f4988" /><Relationship Type="http://schemas.openxmlformats.org/officeDocument/2006/relationships/worksheet" Target="/xl/worksheets/sheet10.xml" Id="Ra7af34b1dfef4226" /><Relationship Type="http://schemas.openxmlformats.org/officeDocument/2006/relationships/worksheet" Target="/xl/worksheets/sheet11.xml" Id="Re35dc3f9f39c4a47" /></Relationships>
</file>

<file path=xl/tables/table1.xml><?xml version="1.0" encoding="utf-8"?>
<x:table xmlns:x="http://schemas.openxmlformats.org/spreadsheetml/2006/main" id="1" name="DomainLevelMapTable" displayName="DomainLevelMapTable" ref="A1:I71" headerRowCount="1" totalsRowCount="0" totalsRowShown="0">
  <x:tableColumns count="9">
    <x:tableColumn id="1" name="Domain Code"/>
    <x:tableColumn id="2" name="Assessment Domain"/>
    <x:tableColumn id="3" name="Score"/>
    <x:tableColumn id="4" name="Default Goal / Preference"/>
    <x:tableColumn id="5" name="Core Care Tasks"/>
    <x:tableColumn id="6" name="Suggested Frequency / Trigger"/>
    <x:tableColumn id="7" name="Condition-Specific Task Examples"/>
    <x:tableColumn id="8" name="Escalation / Reassessment Trigger"/>
    <x:tableColumn id="9" name="Typical Owne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areTaskLibraryTable" displayName="CareTaskLibraryTable" ref="A1:J421" headerRowCount="1" totalsRowCount="0" totalsRowShown="0">
  <x:tableColumns count="10">
    <x:tableColumn id="1" name="Task ID"/>
    <x:tableColumn id="2" name="Domain Code"/>
    <x:tableColumn id="3" name="Assessment Domain"/>
    <x:tableColumn id="4" name="Score"/>
    <x:tableColumn id="5" name="Task Type"/>
    <x:tableColumn id="6" name="Care Task"/>
    <x:tableColumn id="7" name="Suggested Frequency / Trigger"/>
    <x:tableColumn id="8" name="Typical Owner"/>
    <x:tableColumn id="9" name="Condition / Applies When"/>
    <x:tableColumn id="10" name="Escalation / Reassessment Trigger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ConditionBundleTable" displayName="ConditionBundleTable" ref="A1:E29" headerRowCount="1" totalsRowCount="0" totalsRowShown="0">
  <x:tableColumns count="5">
    <x:tableColumn id="1" name="Condition / Risk"/>
    <x:tableColumn id="2" name="Primary Domain"/>
    <x:tableColumn id="3" name="Typical Score Range"/>
    <x:tableColumn id="4" name="Condition-Specific Care Tasks"/>
    <x:tableColumn id="5" name="Clinical / Implementation Not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CarePlanBuilderTable" displayName="CarePlanBuilderTable" ref="A2:L52" headerRowCount="1" totalsRowCount="0" totalsRowShown="0">
  <x:tableColumns count="12">
    <x:tableColumn id="1" name="Resident"/>
    <x:tableColumn id="2" name="Domain Code"/>
    <x:tableColumn id="3" name="Score"/>
    <x:tableColumn id="4" name="Default Goal / Preference"/>
    <x:tableColumn id="5" name="Core Task Bundle (edit/select)"/>
    <x:tableColumn id="6" name="Frequency / Trigger"/>
    <x:tableColumn id="7" name="Typical Owner"/>
    <x:tableColumn id="8" name="Escalation Trigger"/>
    <x:tableColumn id="9" name="Condition / Risk Add-On"/>
    <x:tableColumn id="10" name="Resident-Specific Preference / Instructions"/>
    <x:tableColumn id="11" name="Review Date"/>
    <x:tableColumn id="12" name="Statu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ASCareDeliveryMap" displayName="ASCareDeliveryMap" ref="A1:J71" headerRowCount="1" totalsRowCount="0" totalsRowShown="0">
  <x:tableColumns count="10">
    <x:tableColumn id="1" name="Domain Code"/>
    <x:tableColumn id="2" name="Approved v4.2 Domain"/>
    <x:tableColumn id="3" name="AS Level"/>
    <x:tableColumn id="4" name="Default Goal / Preference"/>
    <x:tableColumn id="5" name="Caregiver Tasks / Interventions"/>
    <x:tableColumn id="6" name="Nurse Tasks / Oversight"/>
    <x:tableColumn id="7" name="Suggested Frequency / Trigger"/>
    <x:tableColumn id="8" name="Care Event Type"/>
    <x:tableColumn id="9" name="Escalation / Reassessment Trigger"/>
    <x:tableColumn id="10" name="Activation Rule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ConditionInterventions" displayName="ConditionInterventions" ref="A1:G29" headerRowCount="1" totalsRowCount="0" totalsRowShown="0">
  <x:tableColumns count="7">
    <x:tableColumn id="1" name="Condition / Risk"/>
    <x:tableColumn id="2" name="Linked AS Domain"/>
    <x:tableColumn id="3" name="Typical AS Level"/>
    <x:tableColumn id="4" name="Caregiver Condition-Specific Tasks"/>
    <x:tableColumn id="5" name="Nurse Tasks / Clinical Oversight"/>
    <x:tableColumn id="6" name="Orders / Safeguards"/>
    <x:tableColumn id="7" name="24-Hour Application"/>
  </x:tableColumns>
  <x:tableStyleInfo name="TableStyleMedium4" showFirstColumn="0" showLastColumn="0" showRowStripes="1" showColumnStripes="0"/>
</x:table>
</file>

<file path=xl/tables/table7.xml><?xml version="1.0" encoding="utf-8"?>
<x:table xmlns:x="http://schemas.openxmlformats.org/spreadsheetml/2006/main" id="7" name="Routine24Hour" displayName="Routine24Hour" ref="A4:Q20" headerRowCount="1" totalsRowCount="0" totalsRowShown="0">
  <x:tableColumns count="17">
    <x:tableColumn id="1" name="Care Day"/>
    <x:tableColumn id="2" name="Time Window"/>
    <x:tableColumn id="3" name="Shift"/>
    <x:tableColumn id="4" name="Routine / Care Event"/>
    <x:tableColumn id="5" name="Linked AS Domain(s)"/>
    <x:tableColumn id="6" name="Resident Goal / Preference"/>
    <x:tableColumn id="7" name="Caregiver Responsibility"/>
    <x:tableColumn id="8" name="Nurse Responsibility"/>
    <x:tableColumn id="9" name="Frequency"/>
    <x:tableColumn id="10" name="Criticality"/>
    <x:tableColumn id="11" name="Completion Status"/>
    <x:tableColumn id="12" name="Exception / Variance"/>
    <x:tableColumn id="13" name="Escalation Required"/>
    <x:tableColumn id="14" name="Follow-up Owner"/>
    <x:tableColumn id="15" name="Due / Review Time"/>
    <x:tableColumn id="16" name="Documentation"/>
    <x:tableColumn id="17" name="Approval 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ShiftBusinessRules" displayName="ShiftBusinessRules" ref="A1:B17" headerRowCount="1" totalsRowCount="0" totalsRowShown="0">
  <x:tableColumns count="2">
    <x:tableColumn id="1" name="CONTROL"/>
    <x:tableColumn id="2" name="APPROVED RULE / SLMS REQUIREMENT"/>
  </x:tableColumns>
  <x:tableStyleInfo name="TableStyleMedium4" showFirstColumn="0" showLastColumn="0" showRowStripes="1" showColumnStripes="0"/>
</x:table>
</file>

<file path=xl/tables/table9.xml><?xml version="1.0" encoding="utf-8"?>
<x:table xmlns:x="http://schemas.openxmlformats.org/spreadsheetml/2006/main" id="9" name="HighFrequencyMethods" displayName="HighFrequencyMethods" ref="A4:E12" headerRowCount="1" totalsRowCount="0" totalsRowShown="0">
  <x:tableColumns count="5">
    <x:tableColumn id="1" name="Frequency Method"/>
    <x:tableColumn id="2" name="Example"/>
    <x:tableColumn id="3" name="SLMS Generation Rule"/>
    <x:tableColumn id="4" name="Caregiver Recording"/>
    <x:tableColumn id="5" name="Nursing / Escalation Control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HighFrequencyConfiguration" displayName="HighFrequencyConfiguration" ref="G4:H15" headerRowCount="1" totalsRowCount="0" totalsRowShown="0">
  <x:tableColumns count="2">
    <x:tableColumn id="1" name="Required Configuration Field"/>
    <x:tableColumn id="2" name="Purpose / Rule"/>
  </x:tableColumns>
  <x:tableStyleInfo name="TableStyleMedium4" showFirstColumn="0" showLastColumn="0" showRowStripes="1" showColumnStripes="0"/>
</x:table>
</file>

<file path=xl/tables/table11.xml><?xml version="1.0" encoding="utf-8"?>
<x:table xmlns:x="http://schemas.openxmlformats.org/spreadsheetml/2006/main" id="11" name="HighFrequencyOccurrences" displayName="HighFrequencyOccurrences" ref="A20:J29" headerRowCount="1" totalsRowCount="0" totalsRowShown="0">
  <x:tableColumns count="10">
    <x:tableColumn id="1" name="Care Day"/>
    <x:tableColumn id="2" name="Scheduled Time"/>
    <x:tableColumn id="3" name="Shift"/>
    <x:tableColumn id="4" name="Actual Time"/>
    <x:tableColumn id="5" name="Status"/>
    <x:tableColumn id="6" name="Caregiver Result"/>
    <x:tableColumn id="7" name="Exception / Variance"/>
    <x:tableColumn id="8" name="Escalation"/>
    <x:tableColumn id="9" name="Follow-up Owner"/>
    <x:tableColumn id="10" name="Audit Rule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HighFrequencyStatuses" displayName="HighFrequencyStatuses" ref="A34:C44" headerRowCount="1" totalsRowCount="0" totalsRowShown="0">
  <x:tableColumns count="3">
    <x:tableColumn id="1" name="Status"/>
    <x:tableColumn id="2" name="Counts as Completed?"/>
    <x:tableColumn id="3" name="Required Meaning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f3bb77f43dc4ab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a7b271c4c41445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185a3ad48dd48d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9eef9878b5f2461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0a1be10c72024db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418b0bcd014a452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dc6a75f05bfd4351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8.xml" Id="Rf522f4ec51fa4c2b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14953e948319408f" /><Relationship Type="http://schemas.openxmlformats.org/officeDocument/2006/relationships/table" Target="/xl/tables/table10.xml" Id="R00e6c00976544475" /><Relationship Type="http://schemas.openxmlformats.org/officeDocument/2006/relationships/table" Target="/xl/tables/table11.xml" Id="R73a1fc3cbfb54ae8" /><Relationship Type="http://schemas.openxmlformats.org/officeDocument/2006/relationships/table" Target="/xl/tables/table12.xml" Id="R937e940d7c714d6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10" hidden="0" customWidth="1"/>
  </x:cols>
  <x:sheetData>
    <x:row r="1" ht="28" customHeight="1">
      <x:c r="A1" s="58" t="str">
        <x:v>SLMS v4.2 AS Domain → Goal → Care Delivery Mapping</x:v>
      </x:c>
      <x:c r="B1" s="58"/>
      <x:c r="C1" s="5"/>
      <x:c r="D1" s="5"/>
      <x:c r="E1" s="5"/>
      <x:c r="F1" s="5"/>
    </x:row>
    <x:row r="2" ht="34" customHeight="1">
      <x:c r="A2" s="59" t="str">
        <x:v>Controlled downstream working library; does not replace Resident Assessment v4.2 or Decision Rules/Care Model v3.9.</x:v>
      </x:c>
      <x:c r="B2" s="59"/>
      <x:c r="C2" s="12"/>
      <x:c r="D2" s="12"/>
      <x:c r="E2" s="12"/>
      <x:c r="F2" s="12"/>
    </x:row>
    <x:row r="3">
      <x:c r="A3"/>
      <x:c r="B3"/>
    </x:row>
    <x:row r="4">
      <x:c r="A4" s="66" t="str">
        <x:v>Controlling assessment</x:v>
      </x:c>
      <x:c r="B4" s="70" t="str">
        <x:v>14 AS domains scored 0–4; raw /56 is advisory. Apply MLR-floor, modifiers, clinical judgment and nurse-confirmed Final LOC.</x:v>
      </x:c>
    </x:row>
    <x:row r="5">
      <x:c r="A5" s="64" t="str">
        <x:v>1. Finalize assessment</x:v>
      </x:c>
      <x:c r="B5" s="68" t="str">
        <x:v>Use v4.2 as source of truth. Do not use the retired legacy 50-point form.</x:v>
      </x:c>
    </x:row>
    <x:row r="6">
      <x:c r="A6" s="64" t="str">
        <x:v>2. Filter active needs</x:v>
      </x:c>
      <x:c r="B6" s="68" t="str">
        <x:v>Generate a recommendation only when an assessed need requires staff action. Diagnosis/history alone does not activate a task.</x:v>
      </x:c>
    </x:row>
    <x:row r="7">
      <x:c r="A7" s="64" t="str">
        <x:v>3. Build draft plan</x:v>
      </x:c>
      <x:c r="B7" s="68" t="str">
        <x:v>Use AS Care Delivery Map and Condition Interventions to select goals and caregiver/nurse responsibilities.</x:v>
      </x:c>
    </x:row>
    <x:row r="8">
      <x:c r="A8" s="64" t="str">
        <x:v>4. Individualize</x:v>
      </x:c>
      <x:c r="B8" s="68" t="str">
        <x:v>Specify resident preference, assistance, technique, frequency/time, owner, precautions, expected outcome, review/stop date and escalation.</x:v>
      </x:c>
    </x:row>
    <x:row r="9">
      <x:c r="A9" s="64" t="str">
        <x:v>5. Nursing approval</x:v>
      </x:c>
      <x:c r="B9" s="68" t="str">
        <x:v>Draft remains inactive until nursing review, approval, effective date and review date are recorded.</x:v>
      </x:c>
    </x:row>
    <x:row r="10">
      <x:c r="A10" s="64" t="str">
        <x:v>6. Generate routine</x:v>
      </x:c>
      <x:c r="B10" s="68" t="str">
        <x:v>Approved interventions generate resident-specific tasks in one continuous 24-hour routine.</x:v>
      </x:c>
    </x:row>
    <x:row r="11">
      <x:c r="A11" s="64" t="str">
        <x:v>7. Shift execution</x:v>
      </x:c>
      <x:c r="B11" s="68" t="str">
        <x:v>Use structured completion and exception statuses; do not count refusal, unable, unsafe, clinical hold, overdue or missed as completed.</x:v>
      </x:c>
    </x:row>
    <x:row r="12">
      <x:c r="A12" s="64" t="str">
        <x:v>8. Close the loop</x:v>
      </x:c>
      <x:c r="B12" s="68" t="str">
        <x:v>Exception → nurse triage → action/monitoring → reassessment when indicated → approved plan/routine revision.</x:v>
      </x:c>
    </x:row>
    <x:row r="13">
      <x:c r="A13" s="64" t="str">
        <x:v>Sheets</x:v>
      </x:c>
      <x:c r="B13" s="68" t="str">
        <x:v>Domain-Level Map and Task Library preserve the detailed library; AS Care Delivery Map separates caregiver/nurse work; Condition Interventions adds diagnosis/risk safeguards; 24-Hour Routine applies shift responsibility; Shift Rules controls implementation. High-Frequency Tasks defines repeated occurrence generation and recording.</x:v>
      </x:c>
    </x:row>
    <x:row r="14">
      <x:c r="A14" s="64" t="str">
        <x:v>Clinical safeguard</x:v>
      </x:c>
      <x:c r="B14" s="68" t="str">
        <x:v>Use current orders, LifeCare policy and authorized scope. This workbook does not independently authorize medication, treatment, diet/texture/fluid restriction, wound or therapy changes.</x:v>
      </x:c>
    </x:row>
    <x:row r="15">
      <x:c r="A15" s="64" t="str">
        <x:v>Version note</x:v>
      </x:c>
      <x:c r="B15" s="68" t="str">
        <x:v>Prepared from LifeCare Resident Assessment v4.2 and the existing SLMS Assessment Domain Care Task Mapping.</x:v>
      </x:c>
    </x:row>
    <x:row r="16">
      <x:c r="A16" s="64" t="str">
        <x:v>Status</x:v>
      </x:c>
      <x:c r="B16" s="68" t="str">
        <x:v>Working implementation document—requires LifeCare nursing/governance validation before production import.</x:v>
      </x:c>
    </x:row>
  </x:sheetData>
  <x:mergeCells>
    <x:mergeCell ref="A1:B1"/>
    <x:mergeCell ref="A2:B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26" hidden="0" customWidth="1"/>
    <x:col min="3" max="3" width="8" hidden="0" customWidth="1"/>
    <x:col min="4" max="4" width="55" hidden="0" customWidth="1"/>
    <x:col min="5" max="5" width="62" hidden="0" customWidth="1"/>
    <x:col min="6" max="6" width="27" hidden="0" customWidth="1"/>
    <x:col min="7" max="7" width="58" hidden="0" customWidth="1"/>
    <x:col min="8" max="8" width="54" hidden="0" customWidth="1"/>
    <x:col min="9" max="9" width="30" hidden="0" customWidth="1"/>
  </x:cols>
  <x:sheetData>
    <x:row r="1" ht="34" customHeight="1">
      <x:c r="A1" s="27" t="str">
        <x:v>Domain Code</x:v>
      </x:c>
      <x:c r="B1" s="27" t="str">
        <x:v>Assessment Domain</x:v>
      </x:c>
      <x:c r="C1" s="27" t="str">
        <x:v>Score</x:v>
      </x:c>
      <x:c r="D1" s="27" t="str">
        <x:v>Default Goal / Preference</x:v>
      </x:c>
      <x:c r="E1" s="27" t="str">
        <x:v>Core Care Tasks</x:v>
      </x:c>
      <x:c r="F1" s="27" t="str">
        <x:v>Suggested Frequency / Trigger</x:v>
      </x:c>
      <x:c r="G1" s="27" t="str">
        <x:v>Condition-Specific Task Examples</x:v>
      </x:c>
      <x:c r="H1" s="27" t="str">
        <x:v>Escalation / Reassessment Trigger</x:v>
      </x:c>
      <x:c r="I1" s="27" t="str">
        <x:v>Typical Owner</x:v>
      </x:c>
    </x:row>
    <x:row r="2" ht="92" customHeight="1">
      <x:c r="A2" s="22" t="str">
        <x:v>AS-01</x:v>
      </x:c>
      <x:c r="B2" s="22" t="str">
        <x:v>ADLs / Personal Care</x:v>
      </x:c>
      <x:c r="C2" s="32" t="n">
        <x:v>0</x:v>
      </x:c>
      <x:c r="D2" s="22" t="str">
        <x:v>Maintain independence with personal care and respect the resident’s preferred routines, timing and choices.</x:v>
      </x:c>
      <x:c r="E2" s="22" t="str">
        <x:v>• Allow resident to complete bathing, dressing, grooming, toileting and eating independently.
• Set out preferred toiletries/clothing only if requested.
• Respect usual timing, sequence, privacy and cultural preferences.
• Observe for new difficulty, fatigue, pain or decline during self-care.</x:v>
      </x:c>
      <x:c r="F2" s="22" t="str">
        <x:v>Routine observation; assistance only on request</x:v>
      </x:c>
      <x:c r="G2" s="22" t="str">
        <x:v>• Arthritis: allow extra time and use easy-grip items if preferred.
• Early dementia: keep familiar items in consistent locations.</x:v>
      </x:c>
      <x:c r="H2" s="22" t="str">
        <x:v>New hands-on assistance, repeated missed hygiene, pain, fatigue or safety concern.</x:v>
      </x:c>
      <x:c r="I2" s="22" t="str">
        <x:v>Caregiver / care staff</x:v>
      </x:c>
    </x:row>
    <x:row r="3" ht="92" customHeight="1">
      <x:c r="A3" s="22" t="str">
        <x:v>AS-01</x:v>
      </x:c>
      <x:c r="B3" s="22" t="str">
        <x:v>ADLs / Personal Care</x:v>
      </x:c>
      <x:c r="C3" s="32" t="n">
        <x:v>1</x:v>
      </x:c>
      <x:c r="D3" s="22" t="str">
        <x:v>Maintain independence with self-care, providing occasional setup or cueing as needed while respecting preferred routines and choices.</x:v>
      </x:c>
      <x:c r="E3" s="22" t="str">
        <x:v>• Provide setup for selected ADLs (e.g., clothing, toiletries, meal tray).
• Give one-step reminders or verbal cueing only when needed.
• Encourage resident to complete remaining steps independently.
• Document which ADLs needed cueing/setup and any change from baseline.</x:v>
      </x:c>
      <x:c r="F3" s="22" t="str">
        <x:v>Per ADL episode; document exceptions</x:v>
      </x:c>
      <x:c r="G3" s="22" t="str">
        <x:v>• Post-hospital weakness: schedule self-care when energy is best.
• Visual impairment: organize items in predictable positions.</x:v>
      </x:c>
      <x:c r="H3" s="22" t="str">
        <x:v>Need for regular physical help, repeated incomplete ADLs or increased fatigue.</x:v>
      </x:c>
      <x:c r="I3" s="22" t="str">
        <x:v>Caregiver / care staff</x:v>
      </x:c>
    </x:row>
    <x:row r="4" ht="92" customHeight="1">
      <x:c r="A4" s="22" t="str">
        <x:v>AS-01</x:v>
      </x:c>
      <x:c r="B4" s="22" t="str">
        <x:v>ADLs / Personal Care</x:v>
      </x:c>
      <x:c r="C4" s="32" t="n">
        <x:v>2</x:v>
      </x:c>
      <x:c r="D4" s="22" t="str">
        <x:v>Maximize participation in personal care while providing regular hands-on assistance as needed. Maintain privacy, dignity and preferred routines.</x:v>
      </x:c>
      <x:c r="E4" s="22" t="str">
        <x:v>• Provide hands-on help for identified ADLs while allowing resident to perform safe steps.
• Use agreed transfer/body mechanics during bathing, dressing and toileting.
• Offer simple choices for clothing, grooming and timing.
• Check skin and comfort during personal care and report concerns.</x:v>
      </x:c>
      <x:c r="F4" s="22" t="str">
        <x:v>Regularly during identified ADLs</x:v>
      </x:c>
      <x:c r="G4" s="22" t="str">
        <x:v>• Dementia: use calm one-step cueing and familiar sequence.
• Arthritis/stroke weakness: assist affected side and use adaptive equipment if prescribed.</x:v>
      </x:c>
      <x:c r="H4" s="22" t="str">
        <x:v>Assistance expands to multiple ADLs, two-person help becomes necessary, or resident cannot participate safely.</x:v>
      </x:c>
      <x:c r="I4" s="22" t="str">
        <x:v>Caregiver / care staff</x:v>
      </x:c>
    </x:row>
    <x:row r="5" ht="92" customHeight="1">
      <x:c r="A5" s="22" t="str">
        <x:v>AS-01</x:v>
      </x:c>
      <x:c r="B5" s="22" t="str">
        <x:v>ADLs / Personal Care</x:v>
      </x:c>
      <x:c r="C5" s="32" t="n">
        <x:v>3</x:v>
      </x:c>
      <x:c r="D5" s="22" t="str">
        <x:v>Encourage the resident to participate in personal care to the extent safely possible while providing extensive assistance across needed ADLs. Preserve dignity and personal choices.</x:v>
      </x:c>
      <x:c r="E5" s="22" t="str">
        <x:v>• Provide extensive hands-on assistance across multiple ADLs using a consistent sequence.
• Prepare all supplies before care and cluster tasks to reduce fatigue.
• Encourage participation in any safe step (face washing, arm through sleeve, self-feeding portions).
• Complete post-care comfort, hygiene and skin checks.</x:v>
      </x:c>
      <x:c r="F5" s="22" t="str">
        <x:v>Each personal-care episode; structured routine</x:v>
      </x:c>
      <x:c r="G5" s="22" t="str">
        <x:v>• Advanced dementia: approach from front, explain each step, avoid rushing.
• Hemiparesis: follow therapy-approved dressing/transfer technique.</x:v>
      </x:c>
      <x:c r="H5" s="22" t="str">
        <x:v>Near-total dependence, distress with care, new swallowing/feeding dependence or care exceeds staffing plan.</x:v>
      </x:c>
      <x:c r="I5" s="22" t="str">
        <x:v>Caregiver / care staff</x:v>
      </x:c>
    </x:row>
    <x:row r="6" ht="92" customHeight="1">
      <x:c r="A6" s="22" t="str">
        <x:v>AS-01</x:v>
      </x:c>
      <x:c r="B6" s="22" t="str">
        <x:v>ADLs / Personal Care</x:v>
      </x:c>
      <x:c r="C6" s="32" t="n">
        <x:v>4</x:v>
      </x:c>
      <x:c r="D6" s="22" t="str">
        <x:v>Maintain comfort, dignity and personal preferences during all personal care. Encourage any safe participation despite extensive dependence.</x:v>
      </x:c>
      <x:c r="E6" s="22" t="str">
        <x:v>• Provide near-total/total assistance for personal care while protecting privacy and dignity.
• Use two-person/mechanical assistance when required by the care plan and trained staff.
• Reposition and provide comfort measures during/after care.
• Offer meaningful choices and observe non-verbal signs of pain or distress.</x:v>
      </x:c>
      <x:c r="F6" s="22" t="str">
        <x:v>Every ADL episode; high-frequency care</x:v>
      </x:c>
      <x:c r="G6" s="22" t="str">
        <x:v>• Severe dementia: use consistent caregivers/approach where possible.
• Contracture/frailty: use gentle range/positioning per therapy plan; avoid force.</x:v>
      </x:c>
      <x:c r="H6" s="22" t="str">
        <x:v>Pain, skin breakdown, recurrent care refusal, unsafe transfer needs or needs beyond service capability.</x:v>
      </x:c>
      <x:c r="I6" s="22" t="str">
        <x:v>Caregiver / care staff</x:v>
      </x:c>
    </x:row>
    <x:row r="7" ht="92" customHeight="1">
      <x:c r="A7" s="22" t="str">
        <x:v>AS-02</x:v>
      </x:c>
      <x:c r="B7" s="22" t="str">
        <x:v>Mobility / Transfers</x:v>
      </x:c>
      <x:c r="C7" s="32" t="n">
        <x:v>0</x:v>
      </x:c>
      <x:c r="D7" s="22" t="str">
        <x:v>Maintain safe, independent mobility and transfers at the resident’s preferred pace and routine.</x:v>
      </x:c>
      <x:c r="E7" s="22" t="str">
        <x:v>• Encourage independent walking and transfers at usual pace.
• Keep usual mobility route uncluttered and footwear accessible.
• Ensure commonly used items are within safe reach.
• Observe for new gait, endurance or transfer changes.</x:v>
      </x:c>
      <x:c r="F7" s="22" t="str">
        <x:v>Routine observation</x:v>
      </x:c>
      <x:c r="G7" s="22" t="str">
        <x:v>• Osteoarthritis: allow slower pace and rest as needed.
• Stable walker user: ensure device is available and in good condition.</x:v>
      </x:c>
      <x:c r="H7" s="22" t="str">
        <x:v>New unsteadiness, fall/near-fall, dizziness or need for physical assistance.</x:v>
      </x:c>
      <x:c r="I7" s="22" t="str">
        <x:v>Caregiver / care staff; nurse oversight as needed</x:v>
      </x:c>
    </x:row>
    <x:row r="8" ht="92" customHeight="1">
      <x:c r="A8" s="22" t="str">
        <x:v>AS-02</x:v>
      </x:c>
      <x:c r="B8" s="22" t="str">
        <x:v>Mobility / Transfers</x:v>
      </x:c>
      <x:c r="C8" s="32" t="n">
        <x:v>1</x:v>
      </x:c>
      <x:c r="D8" s="22" t="str">
        <x:v>Maintain safe mobility with appropriate device, setup or intermittent standby assistance while preserving independence.</x:v>
      </x:c>
      <x:c r="E8" s="22" t="str">
        <x:v>• Set up prescribed mobility device before ambulation.
• Provide standby assistance for transfers or longer walks as identified.
• Remind resident to use device/handrails and appropriate footwear.
• Document episodes requiring more than standby help.</x:v>
      </x:c>
      <x:c r="F8" s="22" t="str">
        <x:v>Intermittent / identified activities</x:v>
      </x:c>
      <x:c r="G8" s="22" t="str">
        <x:v>• Frailty: offer rest breaks and avoid rushing.
• Post-hospital deconditioning: short supervised walks as tolerated.</x:v>
      </x:c>
      <x:c r="H8" s="22" t="str">
        <x:v>Recurring contact guard, transfer difficulty, near-falls or reduced endurance.</x:v>
      </x:c>
      <x:c r="I8" s="22" t="str">
        <x:v>Caregiver / care staff; nurse oversight as needed</x:v>
      </x:c>
    </x:row>
    <x:row r="9" ht="92" customHeight="1">
      <x:c r="A9" s="22" t="str">
        <x:v>AS-02</x:v>
      </x:c>
      <x:c r="B9" s="22" t="str">
        <x:v>Mobility / Transfers</x:v>
      </x:c>
      <x:c r="C9" s="32" t="n">
        <x:v>2</x:v>
      </x:c>
      <x:c r="D9" s="22" t="str">
        <x:v>Promote safe mobility and transfers with supervision, contact guard or minimal assistance as needed. Encourage active participation and independence.</x:v>
      </x:c>
      <x:c r="E9" s="22" t="str">
        <x:v>• Provide recurring supervision/contact guard or minimal assist for transfers and ambulation.
• Use the same transfer technique and cue sequence across staff.
• Position mobility device correctly before standing/sitting.
• Monitor gait, balance, fatigue and dizziness during mobility.</x:v>
      </x:c>
      <x:c r="F9" s="22" t="str">
        <x:v>Each identified transfer/walk</x:v>
      </x:c>
      <x:c r="G9" s="22" t="str">
        <x:v>• Dementia: short one-step cues and visual demonstration.
• Orthostatic symptoms: pause at sitting/standing and report symptoms.</x:v>
      </x:c>
      <x:c r="H9" s="22" t="str">
        <x:v>Need for substantial physical help, two-person transfer, recurrent buckling or falls.</x:v>
      </x:c>
      <x:c r="I9" s="22" t="str">
        <x:v>Caregiver / care staff; nurse oversight as needed</x:v>
      </x:c>
    </x:row>
    <x:row r="10" ht="92" customHeight="1">
      <x:c r="A10" s="22" t="str">
        <x:v>AS-02</x:v>
      </x:c>
      <x:c r="B10" s="22" t="str">
        <x:v>Mobility / Transfers</x:v>
      </x:c>
      <x:c r="C10" s="32" t="n">
        <x:v>3</x:v>
      </x:c>
      <x:c r="D10" s="22" t="str">
        <x:v>Maintain safe mobility and transfers using the established assistance level, technique and equipment while encouraging participation as tolerated.</x:v>
      </x:c>
      <x:c r="E10" s="22" t="str">
        <x:v>• Provide substantial physical assistance for transfers and frequent mobility help.
• Use gait belt/device only if approved by policy/care plan and staff are trained.
• Plan toileting/meals to reduce unnecessary high-risk transfers.
• Coordinate mobility technique with nurse/PT/OT and document tolerance.</x:v>
      </x:c>
      <x:c r="F10" s="22" t="str">
        <x:v>Frequent; most transfers/mobility episodes</x:v>
      </x:c>
      <x:c r="G10" s="22" t="str">
        <x:v>• Post-stroke: follow therapy-prescribed side/technique.
• Parkinsonism: allow time for initiation and avoid pulling on arms.</x:v>
      </x:c>
      <x:c r="H10" s="22" t="str">
        <x:v>Unsafe one-person transfer, rapid decline, new neurologic deficit or inability to bear weight.</x:v>
      </x:c>
      <x:c r="I10" s="22" t="str">
        <x:v>Caregiver / care staff; nurse oversight as needed</x:v>
      </x:c>
    </x:row>
    <x:row r="11" ht="92" customHeight="1">
      <x:c r="A11" s="22" t="str">
        <x:v>AS-02</x:v>
      </x:c>
      <x:c r="B11" s="22" t="str">
        <x:v>Mobility / Transfers</x:v>
      </x:c>
      <x:c r="C11" s="32" t="n">
        <x:v>4</x:v>
      </x:c>
      <x:c r="D11" s="22" t="str">
        <x:v>Ensure safe and comfortable transfers and mobility with extensive assistance while preserving dignity, comfort and any remaining functional ability.</x:v>
      </x:c>
      <x:c r="E11" s="22" t="str">
        <x:v>• Provide extensive transfer/mobility support according to the established safe-handling plan.
• Use mechanical/two-person transfer when required and available within capability.
• Reposition regularly and support comfort in bed/chair.
• Check for pain, skin pressure and tolerance after transfers.</x:v>
      </x:c>
      <x:c r="F11" s="22" t="str">
        <x:v>Every transfer/repositioning episode</x:v>
      </x:c>
      <x:c r="G11" s="22" t="str">
        <x:v>• Severe frailty: minimize unnecessary transfers and prioritize comfort.
• Contractures: position carefully; follow therapy positioning plan.</x:v>
      </x:c>
      <x:c r="H11" s="22" t="str">
        <x:v>New pain/injury, inability to transfer safely with current resources or equipment failure.</x:v>
      </x:c>
      <x:c r="I11" s="22" t="str">
        <x:v>Caregiver / care staff; nurse oversight as needed</x:v>
      </x:c>
    </x:row>
    <x:row r="12" ht="92" customHeight="1">
      <x:c r="A12" s="22" t="str">
        <x:v>AS-03</x:v>
      </x:c>
      <x:c r="B12" s="22" t="str">
        <x:v>Fall Risk</x:v>
      </x:c>
      <x:c r="C12" s="32" t="n">
        <x:v>0</x:v>
      </x:c>
      <x:c r="D12" s="22" t="str">
        <x:v>Maintain safe independent mobility using routine fall-prevention measures and a safe environment.</x:v>
      </x:c>
      <x:c r="E12" s="22" t="str">
        <x:v>• Maintain clear pathways, adequate lighting and safe footwear.
• Keep call system/personal items within reach.
• Encourage usual safe mobility habits.
• Record any new fall or near-fall.</x:v>
      </x:c>
      <x:c r="F12" s="22" t="str">
        <x:v>Routine prevention</x:v>
      </x:c>
      <x:c r="G12" s="22" t="str">
        <x:v>• Visual impairment: maximize lighting/contrast.
• Nighttime bathroom use: use night light if preferred.</x:v>
      </x:c>
      <x:c r="H12" s="22" t="str">
        <x:v>Any fall/near-fall or newly identified fall-risk factor.</x:v>
      </x:c>
      <x:c r="I12" s="22" t="str">
        <x:v>Caregiver + nurse</x:v>
      </x:c>
    </x:row>
    <x:row r="13" ht="92" customHeight="1">
      <x:c r="A13" s="22" t="str">
        <x:v>AS-03</x:v>
      </x:c>
      <x:c r="B13" s="22" t="str">
        <x:v>Fall Risk</x:v>
      </x:c>
      <x:c r="C13" s="32" t="n">
        <x:v>1</x:v>
      </x:c>
      <x:c r="D13" s="22" t="str">
        <x:v>Maintain safe mobility and prevent falls through routine precautions while preserving independence.</x:v>
      </x:c>
      <x:c r="E13" s="22" t="str">
        <x:v>• Complete routine fall-prevention check each shift/day per policy.
• Remind resident to use mobility device and avoid rushing.
• Ensure room/bathroom setup supports safe movement.
• Review any near-fall for contributing factors.</x:v>
      </x:c>
      <x:c r="F13" s="22" t="str">
        <x:v>Routine; after any near-fall</x:v>
      </x:c>
      <x:c r="G13" s="22" t="str">
        <x:v>• Sedating medication: observe for drowsiness/unsteadiness after administration.
• Recent UTI/deconditioning: watch for weakness/confusion.</x:v>
      </x:c>
      <x:c r="H13" s="22" t="str">
        <x:v>Repeated near-falls, new gait/balance concern or need for individualized precautions.</x:v>
      </x:c>
      <x:c r="I13" s="22" t="str">
        <x:v>Caregiver + nurse</x:v>
      </x:c>
    </x:row>
    <x:row r="14" ht="92" customHeight="1">
      <x:c r="A14" s="22" t="str">
        <x:v>AS-03</x:v>
      </x:c>
      <x:c r="B14" s="22" t="str">
        <x:v>Fall Risk</x:v>
      </x:c>
      <x:c r="C14" s="32" t="n">
        <x:v>2</x:v>
      </x:c>
      <x:c r="D14" s="22" t="str">
        <x:v>Reduce fall risk through individualized precautions, appropriate assistance and monitoring of gait, balance and contributing factors.</x:v>
      </x:c>
      <x:c r="E14" s="22" t="str">
        <x:v>• Implement individualized fall precautions documented in the care plan.
• Provide assistance for identified high-risk activities (toileting, transfers, showering).
• Monitor gait, balance, footwear, device use and environmental contributors.
• Review medications/clinical contributors with nurse when risk changes.</x:v>
      </x:c>
      <x:c r="F14" s="22" t="str">
        <x:v>Regular; each risk activity</x:v>
      </x:c>
      <x:c r="G14" s="22" t="str">
        <x:v>• Orthostatic hypotension: slow position changes; report symptomatic BP issues per order.
• Dementia: use visible cues and consistent pathways; avoid restrictive measures.</x:v>
      </x:c>
      <x:c r="H14" s="22" t="str">
        <x:v>Fall with injury, increasing supervision need, acute confusion or recurrent unsafe mobility.</x:v>
      </x:c>
      <x:c r="I14" s="22" t="str">
        <x:v>Caregiver + nurse</x:v>
      </x:c>
    </x:row>
    <x:row r="15" ht="92" customHeight="1">
      <x:c r="A15" s="22" t="str">
        <x:v>AS-03</x:v>
      </x:c>
      <x:c r="B15" s="22" t="str">
        <x:v>Fall Risk</x:v>
      </x:c>
      <x:c r="C15" s="32" t="n">
        <x:v>3</x:v>
      </x:c>
      <x:c r="D15" s="22" t="str">
        <x:v>Prevent falls and injury through regular supervision or assistance during identified risk activities while supporting safe mobility.</x:v>
      </x:c>
      <x:c r="E15" s="22" t="str">
        <x:v>• Provide regular supervision/assistance during mobility and identified risk periods.
• Schedule proactive toileting and respond promptly to mobility needs.
• Use individualized cues/redirection to prevent unsafe unassisted movement.
• Complete post-fall/near-fall review and update interventions.</x:v>
      </x:c>
      <x:c r="F15" s="22" t="str">
        <x:v>Frequent; high-risk periods</x:v>
      </x:c>
      <x:c r="G15" s="22" t="str">
        <x:v>• Wandering/dementia: purposeful walking with supervision and safe route.
• Parkinsonism: allow time for freezing/initiation and avoid rushing.</x:v>
      </x:c>
      <x:c r="H15" s="22" t="str">
        <x:v>Recurrent falls despite plan, new injury, significant decline or need for near-continuous supervision.</x:v>
      </x:c>
      <x:c r="I15" s="22" t="str">
        <x:v>Caregiver + nurse</x:v>
      </x:c>
    </x:row>
    <x:row r="16" ht="92" customHeight="1">
      <x:c r="A16" s="22" t="str">
        <x:v>AS-03</x:v>
      </x:c>
      <x:c r="B16" s="22" t="str">
        <x:v>Fall Risk</x:v>
      </x:c>
      <x:c r="C16" s="32" t="n">
        <x:v>4</x:v>
      </x:c>
      <x:c r="D16" s="22" t="str">
        <x:v>Minimize falls and injury through intensive individualized prevention, close supervision and the least restrictive safety measures appropriate to the resident.</x:v>
      </x:c>
      <x:c r="E16" s="22" t="str">
        <x:v>• Maintain intensive individualized fall-prevention plan using least restrictive measures.
• Provide close supervision during all high-risk mobility/transfers.
• Use team handoff of current triggers, safest techniques and recent events.
• Escalate promptly after falls, head impact, acute change or inability to maintain safety.</x:v>
      </x:c>
      <x:c r="F16" s="22" t="str">
        <x:v>Very frequent / close supervision</x:v>
      </x:c>
      <x:c r="G16" s="22" t="str">
        <x:v>• Severe dementia with unsafe mobility: structured supervised walking and environmental safeguards.
• Recurrent syncope: follow medical plan and emergency escalation criteria.</x:v>
      </x:c>
      <x:c r="H16" s="22" t="str">
        <x:v>Any serious injury, repeated uncontrolled falls or safety need beyond service capability.</x:v>
      </x:c>
      <x:c r="I16" s="22" t="str">
        <x:v>Caregiver + nurse</x:v>
      </x:c>
    </x:row>
    <x:row r="17" ht="92" customHeight="1">
      <x:c r="A17" s="22" t="str">
        <x:v>AS-04</x:v>
      </x:c>
      <x:c r="B17" s="22" t="str">
        <x:v>Cognition / Self-Direction</x:v>
      </x:c>
      <x:c r="C17" s="32" t="n">
        <x:v>0</x:v>
      </x:c>
      <x:c r="D17" s="22" t="str">
        <x:v>Maintain autonomy, self-direction and participation in daily decisions and preferred routines.</x:v>
      </x:c>
      <x:c r="E17" s="22" t="str">
        <x:v>• Offer normal choices and involve resident directly in decisions.
• Maintain preferred routine and access to calendar/clock as desired.
• Communicate changes in schedule clearly.
• Observe for acute confusion or new memory difficulty.</x:v>
      </x:c>
      <x:c r="F17" s="22" t="str">
        <x:v>Routine</x:v>
      </x:c>
      <x:c r="G17" s="22" t="str">
        <x:v>• Hospital return: watch for new delirium/confusion from baseline.
• Hearing loss: ensure hearing aids are available before assuming confusion.</x:v>
      </x:c>
      <x:c r="H17" s="22" t="str">
        <x:v>Acute change in cognition, unsafe judgment or new difficulty self-directing care.</x:v>
      </x:c>
      <x:c r="I17" s="22" t="str">
        <x:v>Caregiver / care staff; nurse if acute change</x:v>
      </x:c>
    </x:row>
    <x:row r="18" ht="92" customHeight="1">
      <x:c r="A18" s="22" t="str">
        <x:v>AS-04</x:v>
      </x:c>
      <x:c r="B18" s="22" t="str">
        <x:v>Cognition / Self-Direction</x:v>
      </x:c>
      <x:c r="C18" s="32" t="n">
        <x:v>1</x:v>
      </x:c>
      <x:c r="D18" s="22" t="str">
        <x:v>Support independence and orientation with occasional reminders or cueing while allowing adequate time for decision-making.</x:v>
      </x:c>
      <x:c r="E18" s="22" t="str">
        <x:v>• Give occasional reminders for appointments, meals or daily routine.
• Use one-step cueing when resident loses track of a task.
• Allow extra processing time before repeating instructions.
• Document new or increasing cueing needs.</x:v>
      </x:c>
      <x:c r="F18" s="22" t="str">
        <x:v>Occasional / as needed</x:v>
      </x:c>
      <x:c r="G18" s="22" t="str">
        <x:v>• Mild cognitive impairment: use calendar, labels and consistent placement of items.
• Early dementia: repeat calmly rather than challenge memory.</x:v>
      </x:c>
      <x:c r="H18" s="22" t="str">
        <x:v>Regular reorientation becomes necessary, unsafe decisions increase or acute confusion appears.</x:v>
      </x:c>
      <x:c r="I18" s="22" t="str">
        <x:v>Caregiver / care staff; nurse if acute change</x:v>
      </x:c>
    </x:row>
    <x:row r="19" ht="92" customHeight="1">
      <x:c r="A19" s="22" t="str">
        <x:v>AS-04</x:v>
      </x:c>
      <x:c r="B19" s="22" t="str">
        <x:v>Cognition / Self-Direction</x:v>
      </x:c>
      <x:c r="C19" s="32" t="n">
        <x:v>2</x:v>
      </x:c>
      <x:c r="D19" s="22" t="str">
        <x:v>Maintain participation in daily routines through regular cueing, reorientation and support with decisions while respecting the resident’s choices.</x:v>
      </x:c>
      <x:c r="E19" s="22" t="str">
        <x:v>• Provide regular cueing/reorientation using familiar language and routines.
• Offer limited, simple choices to preserve decision-making.
• Supervise decisions involving safety, medication and high-risk activities as care plan indicates.
• Use consistent staff approaches and document effective cues.</x:v>
      </x:c>
      <x:c r="F19" s="22" t="str">
        <x:v>Regular throughout day</x:v>
      </x:c>
      <x:c r="G19" s="22" t="str">
        <x:v>• Dementia: use validation/reassurance; avoid arguing over incorrect beliefs.
• Delirium risk: track sudden fluctuations and report promptly.</x:v>
      </x:c>
      <x:c r="H19" s="22" t="str">
        <x:v>Substantial impairment across multiple daily decisions, wandering/unsafe behavior or acute change.</x:v>
      </x:c>
      <x:c r="I19" s="22" t="str">
        <x:v>Caregiver / care staff; nurse if acute change</x:v>
      </x:c>
    </x:row>
    <x:row r="20" ht="92" customHeight="1">
      <x:c r="A20" s="22" t="str">
        <x:v>AS-04</x:v>
      </x:c>
      <x:c r="B20" s="22" t="str">
        <x:v>Cognition / Self-Direction</x:v>
      </x:c>
      <x:c r="C20" s="32" t="n">
        <x:v>3</x:v>
      </x:c>
      <x:c r="D20" s="22" t="str">
        <x:v>Promote comfort and participation through structured routines, simple choices, familiar approaches and substantial support with daily-care decisions.</x:v>
      </x:c>
      <x:c r="E20" s="22" t="str">
        <x:v>• Use structured daily routine and repeated simple cues for most care activities.
• Break tasks into one-step directions and demonstrate when helpful.
• Anticipate needs when resident cannot reliably plan/sequence care.
• Record behavior/cognition patterns that affect care delivery.</x:v>
      </x:c>
      <x:c r="F20" s="22" t="str">
        <x:v>Frequent / most care interactions</x:v>
      </x:c>
      <x:c r="G20" s="22" t="str">
        <x:v>• Moderate-severe dementia: use familiar objects, names and consistent caregivers when possible.
• Aphasia plus cognitive impairment: use gestures/pictures and yes/no choices.</x:v>
      </x:c>
      <x:c r="H20" s="22" t="str">
        <x:v>Inability to self-direct basic care, severe distress, unsafe behavior or sudden decline.</x:v>
      </x:c>
      <x:c r="I20" s="22" t="str">
        <x:v>Caregiver / care staff; nurse if acute change</x:v>
      </x:c>
    </x:row>
    <x:row r="21" ht="92" customHeight="1">
      <x:c r="A21" s="22" t="str">
        <x:v>AS-04</x:v>
      </x:c>
      <x:c r="B21" s="22" t="str">
        <x:v>Cognition / Self-Direction</x:v>
      </x:c>
      <x:c r="C21" s="32" t="n">
        <x:v>4</x:v>
      </x:c>
      <x:c r="D21" s="22" t="str">
        <x:v>Maintain comfort, dignity and familiarity through consistent routines, simple communication and pervasive support with daily care and decision-making.</x:v>
      </x:c>
      <x:c r="E21" s="22" t="str">
        <x:v>• Provide pervasive support for daily decisions and care sequencing.
• Use simple language, non-verbal cues and consistent familiar routines.
• Anticipate basic needs while still offering simple choices and seeking assent.
• Monitor non-verbal indicators of pain, fear, hunger or toileting need.</x:v>
      </x:c>
      <x:c r="F21" s="22" t="str">
        <x:v>Continuous across care day</x:v>
      </x:c>
      <x:c r="G21" s="22" t="str">
        <x:v>• Advanced dementia: focus on comfort, familiarity and meaningful sensory engagement.
• Delirium superimposed on dementia: treat sudden change as clinical concern, not baseline behavior.</x:v>
      </x:c>
      <x:c r="H21" s="22" t="str">
        <x:v>Acute change, inability to maintain safety/comfort or support need beyond service capability.</x:v>
      </x:c>
      <x:c r="I21" s="22" t="str">
        <x:v>Caregiver / care staff; nurse if acute change</x:v>
      </x:c>
    </x:row>
    <x:row r="22" ht="92" customHeight="1">
      <x:c r="A22" s="22" t="str">
        <x:v>AS-05</x:v>
      </x:c>
      <x:c r="B22" s="22" t="str">
        <x:v>Behavior / BPSD</x:v>
      </x:c>
      <x:c r="C22" s="32" t="n">
        <x:v>0</x:v>
      </x:c>
      <x:c r="D22" s="22" t="str">
        <x:v>Maintain emotional well-being, meaningful relationships, preferred activities and usual routines.</x:v>
      </x:c>
      <x:c r="E22" s="22" t="str">
        <x:v>• Support preferred social activities, hobbies and family contact.
• Respect privacy, coping style and desired level of engagement.
• Offer normal choices without forcing participation.
• Observe for new anxiety, withdrawal, agitation or mood change.</x:v>
      </x:c>
      <x:c r="F22" s="22" t="str">
        <x:v>Routine</x:v>
      </x:c>
      <x:c r="G22" s="22" t="str">
        <x:v>• Bereavement: offer preferred support and monitor adjustment.
• Depression history: note loss of interest or functional decline.</x:v>
      </x:c>
      <x:c r="H22" s="22" t="str">
        <x:v>Persistent mood/behavior change, safety concern or marked withdrawal.</x:v>
      </x:c>
      <x:c r="I22" s="22" t="str">
        <x:v>Caregiver + nurse; clinician as indicated</x:v>
      </x:c>
    </x:row>
    <x:row r="23" ht="92" customHeight="1">
      <x:c r="A23" s="22" t="str">
        <x:v>AS-05</x:v>
      </x:c>
      <x:c r="B23" s="22" t="str">
        <x:v>Behavior / BPSD</x:v>
      </x:c>
      <x:c r="C23" s="32" t="n">
        <x:v>1</x:v>
      </x:c>
      <x:c r="D23" s="22" t="str">
        <x:v>Maintain emotional comfort with occasional reassurance or redirection while respecting preferences and usual coping strategies.</x:v>
      </x:c>
      <x:c r="E23" s="22" t="str">
        <x:v>• Provide occasional reassurance/redirection during distress.
• Use known calming activities and preferred communication style.
• Identify and document triggers when episodes occur.
• Return resident to preferred activity/routine after distress resolves.</x:v>
      </x:c>
      <x:c r="F23" s="22" t="str">
        <x:v>As needed</x:v>
      </x:c>
      <x:c r="G23" s="22" t="str">
        <x:v>• Early dementia: redirect rather than correct repetitive questioning.
• Anxiety: use predictable explanations before care/transport.</x:v>
      </x:c>
      <x:c r="H23" s="22" t="str">
        <x:v>Episodes become regular, interfere with care or involve aggression/self-harm risk.</x:v>
      </x:c>
      <x:c r="I23" s="22" t="str">
        <x:v>Caregiver + nurse; clinician as indicated</x:v>
      </x:c>
    </x:row>
    <x:row r="24" ht="92" customHeight="1">
      <x:c r="A24" s="22" t="str">
        <x:v>AS-05</x:v>
      </x:c>
      <x:c r="B24" s="22" t="str">
        <x:v>Behavior / BPSD</x:v>
      </x:c>
      <x:c r="C24" s="32" t="n">
        <x:v>2</x:v>
      </x:c>
      <x:c r="D24" s="22" t="str">
        <x:v>Promote emotional stability through predictable routines, reassurance and individualized approaches that reduce known triggers and distress.</x:v>
      </x:c>
      <x:c r="E24" s="22" t="str">
        <x:v>• Maintain predictable routine and proactively reduce known triggers.
• Use individualized reassurance, redirection and de-escalation plan.
• Offer meaningful activity matched to ability and preference.
• Document antecedent, behavior, response and effective intervention.</x:v>
      </x:c>
      <x:c r="F24" s="22" t="str">
        <x:v>Regular; at known trigger times</x:v>
      </x:c>
      <x:c r="G24" s="22" t="str">
        <x:v>• Dementia agitation: check pain, hunger, toileting, overstimulation and fatigue first.
• Sundowning: reduce evening stimulation and keep familiar routine.</x:v>
      </x:c>
      <x:c r="H24" s="22" t="str">
        <x:v>Increasing frequency/intensity, staff safety concern, care refusal with health impact or acute behavior change.</x:v>
      </x:c>
      <x:c r="I24" s="22" t="str">
        <x:v>Caregiver + nurse; clinician as indicated</x:v>
      </x:c>
    </x:row>
    <x:row r="25" ht="92" customHeight="1">
      <x:c r="A25" s="22" t="str">
        <x:v>AS-05</x:v>
      </x:c>
      <x:c r="B25" s="22" t="str">
        <x:v>Behavior / BPSD</x:v>
      </x:c>
      <x:c r="C25" s="32" t="n">
        <x:v>3</x:v>
      </x:c>
      <x:c r="D25" s="22" t="str">
        <x:v>Reduce distress and maintain safety through frequent individualized reassurance, redirection and de-escalation while preserving dignity and choice.</x:v>
      </x:c>
      <x:c r="E25" s="22" t="str">
        <x:v>• Provide frequent individualized de-escalation/redirection and close follow-through.
• Assign consistent approaches and communicate triggers/effective responses at handoff.
• Modify environment/activity promptly when distress escalates.
• Coordinate clinical review for new or worsening behavior.</x:v>
      </x:c>
      <x:c r="F25" s="22" t="str">
        <x:v>Frequent; structured behavior plan</x:v>
      </x:c>
      <x:c r="G25" s="22" t="str">
        <x:v>• Exit-seeking: offer supervised purposeful walking and meaningful destination/activity.
• Verbal/physical aggression: maintain space, calm tone, remove triggers; do not confront.</x:v>
      </x:c>
      <x:c r="H25" s="22" t="str">
        <x:v>Injury risk, uncontrolled aggression, rapid behavior change or need for continuous one-to-one support.</x:v>
      </x:c>
      <x:c r="I25" s="22" t="str">
        <x:v>Caregiver + nurse; clinician as indicated</x:v>
      </x:c>
    </x:row>
    <x:row r="26" ht="92" customHeight="1">
      <x:c r="A26" s="22" t="str">
        <x:v>AS-05</x:v>
      </x:c>
      <x:c r="B26" s="22" t="str">
        <x:v>Behavior / BPSD</x:v>
      </x:c>
      <x:c r="C26" s="32" t="n">
        <x:v>4</x:v>
      </x:c>
      <x:c r="D26" s="22" t="str">
        <x:v>Maintain safety, comfort and dignity through intensive person-centered behavioral support using individualized triggers, calming strategies and the least restrictive approach.</x:v>
      </x:c>
      <x:c r="E26" s="22" t="str">
        <x:v>• Implement intensive person-centered behavior support plan using least restrictive approaches.
• Maintain high consistency of routine, staffing approach and environment.
• Use proactive comfort checks and individualized calming/sensory strategies.
• Escalate urgently when behavior suggests pain, delirium, medication effect or imminent harm.</x:v>
      </x:c>
      <x:c r="F26" s="22" t="str">
        <x:v>Very frequent / intensive</x:v>
      </x:c>
      <x:c r="G26" s="22" t="str">
        <x:v>• Severe dementia: use comfort-focused sensory activity and non-verbal reassurance.
• Persistent agitation: coordinate multidisciplinary/medical review; do not rely solely on restraint or sedation.</x:v>
      </x:c>
      <x:c r="H26" s="22" t="str">
        <x:v>Imminent harm, unmanageable distress or behavior needs beyond service capability.</x:v>
      </x:c>
      <x:c r="I26" s="22" t="str">
        <x:v>Caregiver + nurse; clinician as indicated</x:v>
      </x:c>
    </x:row>
    <x:row r="27" ht="92" customHeight="1">
      <x:c r="A27" s="22" t="str">
        <x:v>AS-06</x:v>
      </x:c>
      <x:c r="B27" s="22" t="str">
        <x:v>Clinical Monitoring / Condition Management</x:v>
      </x:c>
      <x:c r="C27" s="32" t="n">
        <x:v>0</x:v>
      </x:c>
      <x:c r="D27" s="22" t="str">
        <x:v>Maintain current health and wellness through routine observation and healthy daily routines.</x:v>
      </x:c>
      <x:c r="E27" s="22" t="str">
        <x:v>• Perform routine wellness observation during normal care.
• Encourage usual hydration, nutrition, activity and rest.
• Record significant change from baseline.
• Follow routine preventive/medical appointments as scheduled.</x:v>
      </x:c>
      <x:c r="F27" s="22" t="str">
        <x:v>Routine wellness checks</x:v>
      </x:c>
      <x:c r="G27" s="22" t="str">
        <x:v>• Stable hypertension: no extra checks beyond ordered/routine plan.
• Stable diabetes without monitoring needs: reinforce general healthy routine.</x:v>
      </x:c>
      <x:c r="H27" s="22" t="str">
        <x:v>New symptoms, abnormal ordered readings or change in function/mental status.</x:v>
      </x:c>
      <x:c r="I27" s="22" t="str">
        <x:v>Nurse-led; caregiver observations</x:v>
      </x:c>
    </x:row>
    <x:row r="28" ht="92" customHeight="1">
      <x:c r="A28" s="22" t="str">
        <x:v>AS-06</x:v>
      </x:c>
      <x:c r="B28" s="22" t="str">
        <x:v>Clinical Monitoring / Condition Management</x:v>
      </x:c>
      <x:c r="C28" s="32" t="n">
        <x:v>1</x:v>
      </x:c>
      <x:c r="D28" s="22" t="str">
        <x:v>Maintain stability of the identified condition through limited scheduled monitoring and timely reporting of meaningful changes.</x:v>
      </x:c>
      <x:c r="E28" s="22" t="str">
        <x:v>• Complete limited scheduled monitoring for the identified stable condition.
• Record ordered measurements and symptoms in the designated record.
• Reinforce condition-specific self-management instructions within care scope.
• Notify nurse/provider of readings/symptoms outside ordered parameters.</x:v>
      </x:c>
      <x:c r="F28" s="22" t="str">
        <x:v>Scheduled, usually limited</x:v>
      </x:c>
      <x:c r="G28" s="22" t="str">
        <x:v>• Hypertension: BP checks at ordered frequency; note dizziness/headache.
• Stable CKD history: monitor hydration/edema only as directed; avoid unapproved diet/fluid restrictions.</x:v>
      </x:c>
      <x:c r="H28" s="22" t="str">
        <x:v>Repeated abnormal findings, new symptoms or need for more frequent monitoring.</x:v>
      </x:c>
      <x:c r="I28" s="22" t="str">
        <x:v>Nurse-led; caregiver observations</x:v>
      </x:c>
    </x:row>
    <x:row r="29" ht="92" customHeight="1">
      <x:c r="A29" s="22" t="str">
        <x:v>AS-06</x:v>
      </x:c>
      <x:c r="B29" s="22" t="str">
        <x:v>Clinical Monitoring / Condition Management</x:v>
      </x:c>
      <x:c r="C29" s="32" t="n">
        <x:v>2</x:v>
      </x:c>
      <x:c r="D29" s="22" t="str">
        <x:v>Maintain stability of chronic conditions through regular structured monitoring and timely coordination of care.</x:v>
      </x:c>
      <x:c r="E29" s="22" t="str">
        <x:v>• Carry out regular structured monitoring for one or more chronic conditions.
• Trend ordered readings, symptoms, weight or intake where applicable.
• Coordinate appointments/labs and ensure results/orders are communicated.
• Escalate early changes before they become acute.</x:v>
      </x:c>
      <x:c r="F29" s="22" t="str">
        <x:v>Regular structured schedule</x:v>
      </x:c>
      <x:c r="G29" s="22" t="str">
        <x:v>• Diabetes: glucose monitoring as ordered; observe hypo/hyperglycemia symptoms.
• Hypertension/CKD: monitor BP, edema, hydration and weight if ordered.</x:v>
      </x:c>
      <x:c r="H29" s="22" t="str">
        <x:v>Persistent abnormal readings, acute symptoms, rapid weight change, reduced intake/urine or functional decline.</x:v>
      </x:c>
      <x:c r="I29" s="22" t="str">
        <x:v>Nurse-led; caregiver observations</x:v>
      </x:c>
    </x:row>
    <x:row r="30" ht="92" customHeight="1">
      <x:c r="A30" s="22" t="str">
        <x:v>AS-06</x:v>
      </x:c>
      <x:c r="B30" s="22" t="str">
        <x:v>Clinical Monitoring / Condition Management</x:v>
      </x:c>
      <x:c r="C30" s="32" t="n">
        <x:v>3</x:v>
      </x:c>
      <x:c r="D30" s="22" t="str">
        <x:v>Maintain clinical stability through frequent monitoring of interacting conditions, early recognition of deterioration and timely clinical coordination.</x:v>
      </x:c>
      <x:c r="E30" s="22" t="str">
        <x:v>• Perform frequent monitoring across interacting conditions using a documented schedule.
• Compare current findings with resident-specific baseline and ordered parameters.
• Coordinate medication, nutrition, hydration and appointment issues with nurse/provider.
• Provide clear shift-to-shift handoff of active clinical concerns.</x:v>
      </x:c>
      <x:c r="F30" s="22" t="str">
        <x:v>Frequent / multiple times as care plan requires</x:v>
      </x:c>
      <x:c r="G30" s="22" t="str">
        <x:v>• CHF/CKD: weight/edema/breathlessness monitoring as ordered.
• Diabetes plus poor intake: coordinate glucose/meal observations and report mismatches promptly.</x:v>
      </x:c>
      <x:c r="H30" s="22" t="str">
        <x:v>Acute deterioration, repeated out-of-range findings or need for interventions beyond service scope.</x:v>
      </x:c>
      <x:c r="I30" s="22" t="str">
        <x:v>Nurse-led; caregiver observations</x:v>
      </x:c>
    </x:row>
    <x:row r="31" ht="92" customHeight="1">
      <x:c r="A31" s="22" t="str">
        <x:v>AS-06</x:v>
      </x:c>
      <x:c r="B31" s="22" t="str">
        <x:v>Clinical Monitoring / Condition Management</x:v>
      </x:c>
      <x:c r="C31" s="32" t="n">
        <x:v>4</x:v>
      </x:c>
      <x:c r="D31" s="22" t="str">
        <x:v>Maintain safety and clinical stability through very frequent structured monitoring, coordinated management and prompt escalation when needs approach service capability.</x:v>
      </x:c>
      <x:c r="E31" s="22" t="str">
        <x:v>• Provide very frequent structured clinical observation within service capability.
• Maintain active interdisciplinary coordination and explicit escalation thresholds.
• Document response to interventions and unresolved abnormalities.
• Initiate emergency/transfer process when criteria are met.</x:v>
      </x:c>
      <x:c r="F31" s="22" t="str">
        <x:v>Very frequent / near capability threshold</x:v>
      </x:c>
      <x:c r="G31" s="22" t="str">
        <x:v>• Complex cardiorespiratory disease: monitor prescribed indicators closely and escalate early.
• High-risk diabetes: follow ordered monitoring plan; urgent response to severe symptoms/readings per protocol.</x:v>
      </x:c>
      <x:c r="H31" s="22" t="str">
        <x:v>Any instability requiring hospital-level care, continuous clinical monitoring or capability exceeded.</x:v>
      </x:c>
      <x:c r="I31" s="22" t="str">
        <x:v>Nurse-led; caregiver observations</x:v>
      </x:c>
    </x:row>
    <x:row r="32" ht="92" customHeight="1">
      <x:c r="A32" s="22" t="str">
        <x:v>AS-07</x:v>
      </x:c>
      <x:c r="B32" s="22" t="str">
        <x:v>Medication Support</x:v>
      </x:c>
      <x:c r="C32" s="32" t="n">
        <x:v>0</x:v>
      </x:c>
      <x:c r="D32" s="22" t="str">
        <x:v>Maintain safe and independent medication management according to the prescribed schedule.</x:v>
      </x:c>
      <x:c r="E32" s="22" t="str">
        <x:v>• Allow resident to self-manage medications when assessed safe and permitted.
• Keep medication routine and storage consistent with policy.
• Encourage use of personal reminder system if preferred.
• Report observed confusion, missed doses or adverse symptoms.</x:v>
      </x:c>
      <x:c r="F32" s="22" t="str">
        <x:v>Resident-led; routine observation</x:v>
      </x:c>
      <x:c r="G32" s="22" t="str">
        <x:v>• Early memory concerns: verify ability to identify schedule and doses.
• Vision impairment: ensure labels/aids are usable.</x:v>
      </x:c>
      <x:c r="H32" s="22" t="str">
        <x:v>Any missed/duplicate dose, confusion, unsafe storage or declining self-management.</x:v>
      </x:c>
      <x:c r="I32" s="22" t="str">
        <x:v>Nurse / medication-authorized staff per policy</x:v>
      </x:c>
    </x:row>
    <x:row r="33" ht="92" customHeight="1">
      <x:c r="A33" s="22" t="str">
        <x:v>AS-07</x:v>
      </x:c>
      <x:c r="B33" s="22" t="str">
        <x:v>Medication Support</x:v>
      </x:c>
      <x:c r="C33" s="32" t="n">
        <x:v>1</x:v>
      </x:c>
      <x:c r="D33" s="22" t="str">
        <x:v>Support medication adherence with reminders or setup as needed while maintaining as much independence as safely possible.</x:v>
      </x:c>
      <x:c r="E33" s="22" t="str">
        <x:v>• Provide reminders or setup support permitted by policy.
• Confirm resident has taken medication when supervision is part of plan.
• Maintain consistent medication timing around resident routine.
• Document refusals, omissions or unusual effects.</x:v>
      </x:c>
      <x:c r="F33" s="22" t="str">
        <x:v>At medication times as needed</x:v>
      </x:c>
      <x:c r="G33" s="22" t="str">
        <x:v>• Mild dementia: one-step reminder and direct observation if required.
• Polypharmacy: use organized schedule and watch for dizziness/sedation.</x:v>
      </x:c>
      <x:c r="H33" s="22" t="str">
        <x:v>Repeated missed/refused doses, inability to self-administer correctly or adverse effect.</x:v>
      </x:c>
      <x:c r="I33" s="22" t="str">
        <x:v>Nurse / medication-authorized staff per policy</x:v>
      </x:c>
    </x:row>
    <x:row r="34" ht="92" customHeight="1">
      <x:c r="A34" s="22" t="str">
        <x:v>AS-07</x:v>
      </x:c>
      <x:c r="B34" s="22" t="str">
        <x:v>Medication Support</x:v>
      </x:c>
      <x:c r="C34" s="32" t="n">
        <x:v>2</x:v>
      </x:c>
      <x:c r="D34" s="22" t="str">
        <x:v>Ensure safe and consistent medication use with regular supervision or assistance. Monitor adherence, effects and possible side effects.</x:v>
      </x:c>
      <x:c r="E34" s="22" t="str">
        <x:v>• Provide regular medication supervision/assistance according to MAR/orders and scope.
• Check the right resident/medication/time/route per medication policy.
• Monitor for side effects, sedation, dizziness or behavior/cognition change.
• Report refusals, omissions, PRN patterns and concerns to nurse/provider.</x:v>
      </x:c>
      <x:c r="F34" s="22" t="str">
        <x:v>Each scheduled medication time</x:v>
      </x:c>
      <x:c r="G34" s="22" t="str">
        <x:v>• Dementia: do not leave medications unattended; use calm cueing and observe swallowing if required.
• Diabetes: coordinate medication timing with meals/glucose monitoring as ordered.</x:v>
      </x:c>
      <x:c r="H34" s="22" t="str">
        <x:v>Medication error, repeated refusal, adverse reaction, new swallowing issue or regimen complexity increase.</x:v>
      </x:c>
      <x:c r="I34" s="22" t="str">
        <x:v>Nurse / medication-authorized staff per policy</x:v>
      </x:c>
    </x:row>
    <x:row r="35" ht="92" customHeight="1">
      <x:c r="A35" s="22" t="str">
        <x:v>AS-07</x:v>
      </x:c>
      <x:c r="B35" s="22" t="str">
        <x:v>Medication Support</x:v>
      </x:c>
      <x:c r="C35" s="32" t="n">
        <x:v>3</x:v>
      </x:c>
      <x:c r="D35" s="22" t="str">
        <x:v>Maintain medication safety through structured administration support, close monitoring and coordination for a complex regimen or changing needs.</x:v>
      </x:c>
      <x:c r="E35" s="22" t="str">
        <x:v>• Use structured medication administration and reconciliation process for complex regimen.
• Coordinate time-critical medications, monitoring and meals as ordered.
• Track PRN use/response and high-risk side effects.
• Ensure changes after hospital/clinic visits are reconciled before implementation.</x:v>
      </x:c>
      <x:c r="F35" s="22" t="str">
        <x:v>Every administration; close review</x:v>
      </x:c>
      <x:c r="G35" s="22" t="str">
        <x:v>• Anticoagulant: observe/report bleeding/bruising per care plan.
• Psychotropic use in dementia: monitor sedation, falls, behavior change and adverse effects.</x:v>
      </x:c>
      <x:c r="H35" s="22" t="str">
        <x:v>Suspected adverse drug event, reconciliation discrepancy, repeated PRN need or inability to manage safely.</x:v>
      </x:c>
      <x:c r="I35" s="22" t="str">
        <x:v>Nurse / medication-authorized staff per policy</x:v>
      </x:c>
    </x:row>
    <x:row r="36" ht="92" customHeight="1">
      <x:c r="A36" s="22" t="str">
        <x:v>AS-07</x:v>
      </x:c>
      <x:c r="B36" s="22" t="str">
        <x:v>Medication Support</x:v>
      </x:c>
      <x:c r="C36" s="32" t="n">
        <x:v>4</x:v>
      </x:c>
      <x:c r="D36" s="22" t="str">
        <x:v>Ensure medication safety through intensive support, close observation for therapeutic and adverse effects, and prompt coordination or escalation of concerns.</x:v>
      </x:c>
      <x:c r="E36" s="22" t="str">
        <x:v>• Provide intensive medication support within licensed/service capability.
• Maintain close observation for therapeutic response and serious adverse effects.
• Use explicit escalation pathway for missed critical doses, reactions or clinical instability.
• Coordinate promptly with prescriber/pharmacy/nurse for regimen issues.</x:v>
      </x:c>
      <x:c r="F36" s="22" t="str">
        <x:v>High-frequency / time-critical</x:v>
      </x:c>
      <x:c r="G36" s="22" t="str">
        <x:v>• Complex insulin regimen: follow exact orders and capability limits; escalate severe hypo/hyperglycemia.
• Multiple high-risk medications: frequent review of sedation, BP, bleeding or interaction symptoms.</x:v>
      </x:c>
      <x:c r="H36" s="22" t="str">
        <x:v>Need for IV/continuous infusion or medication management beyond facility scope; severe reaction/emergency.</x:v>
      </x:c>
      <x:c r="I36" s="22" t="str">
        <x:v>Nurse / medication-authorized staff per policy</x:v>
      </x:c>
    </x:row>
    <x:row r="37" ht="92" customHeight="1">
      <x:c r="A37" s="22" t="str">
        <x:v>AS-08</x:v>
      </x:c>
      <x:c r="B37" s="22" t="str">
        <x:v>Nutrition / Hydration / Swallowing</x:v>
      </x:c>
      <x:c r="C37" s="32" t="n">
        <x:v>0</x:v>
      </x:c>
      <x:c r="D37" s="22" t="str">
        <x:v>Maintain independent eating and adequate nutrition and hydration while respecting food and beverage preferences.</x:v>
      </x:c>
      <x:c r="E37" s="22" t="str">
        <x:v>• Offer balanced meals and fluids while respecting resident preferences.
• Allow independent eating and preferred dining setting.
• Ensure water/beverages are accessible.
• Observe for unexpected weight or appetite change.</x:v>
      </x:c>
      <x:c r="F37" s="22" t="str">
        <x:v>Meals/snacks; routine observation</x:v>
      </x:c>
      <x:c r="G37" s="22" t="str">
        <x:v>• Diabetes: support agreed healthy choices without unnecessary restriction unless ordered.
• CKD history: do not impose renal restrictions unless prescribed.</x:v>
      </x:c>
      <x:c r="H37" s="22" t="str">
        <x:v>Weight loss, poor intake, swallowing symptoms or dehydration signs.</x:v>
      </x:c>
      <x:c r="I37" s="22" t="str">
        <x:v>Caregiver + nurse; dietitian/SLP as indicated</x:v>
      </x:c>
    </x:row>
    <x:row r="38" ht="92" customHeight="1">
      <x:c r="A38" s="22" t="str">
        <x:v>AS-08</x:v>
      </x:c>
      <x:c r="B38" s="22" t="str">
        <x:v>Nutrition / Hydration / Swallowing</x:v>
      </x:c>
      <x:c r="C38" s="32" t="n">
        <x:v>1</x:v>
      </x:c>
      <x:c r="D38" s="22" t="str">
        <x:v>Maintain adequate nutrition and hydration with minor setup, cueing or dietary support while encouraging independent intake.</x:v>
      </x:c>
      <x:c r="E38" s="22" t="str">
        <x:v>• Provide meal setup, packaging assistance or cueing as needed.
• Offer preferred fluids regularly and encourage adequate intake.
• Follow prescribed diet texture/diet modifications if present.
• Document persistent poor intake or new food difficulty.</x:v>
      </x:c>
      <x:c r="F38" s="22" t="str">
        <x:v>At meals; intermittent fluids</x:v>
      </x:c>
      <x:c r="G38" s="22" t="str">
        <x:v>• Early dementia: simple plate presentation and verbal cueing.
• Dental issues: offer appropriate softer choices pending review.</x:v>
      </x:c>
      <x:c r="H38" s="22" t="str">
        <x:v>Regular supplementation/monitoring becomes necessary, weight decline or swallowing concern.</x:v>
      </x:c>
      <x:c r="I38" s="22" t="str">
        <x:v>Caregiver + nurse; dietitian/SLP as indicated</x:v>
      </x:c>
    </x:row>
    <x:row r="39" ht="92" customHeight="1">
      <x:c r="A39" s="22" t="str">
        <x:v>AS-08</x:v>
      </x:c>
      <x:c r="B39" s="22" t="str">
        <x:v>Nutrition / Hydration / Swallowing</x:v>
      </x:c>
      <x:c r="C39" s="32" t="n">
        <x:v>2</x:v>
      </x:c>
      <x:c r="D39" s="22" t="str">
        <x:v>Maintain adequate nutrition, hydration and healthy weight through regular meal support, intake monitoring and supplementation as indicated.</x:v>
      </x:c>
      <x:c r="E39" s="22" t="str">
        <x:v>• Monitor meal/fluid intake and weight at care-plan frequency.
• Provide regular meal assistance and prescribed nutritional supplements.
• Offer nutrient-dense preferred foods and fluids within diet orders.
• Escalate persistent low intake, weight loss, dehydration or glucose/meal mismatch.</x:v>
      </x:c>
      <x:c r="F39" s="22" t="str">
        <x:v>Each meal; weight per plan</x:v>
      </x:c>
      <x:c r="G39" s="22" t="str">
        <x:v>• Malnutrition/low weight: track intake and weight trend; dietitian/medical review as available.
• Diabetes: coordinate meal consistency with ordered glucose/medication plan.</x:v>
      </x:c>
      <x:c r="H39" s="22" t="str">
        <x:v>Ongoing weight loss, intake &lt; expected over repeated meals, dehydration or swallowing symptoms.</x:v>
      </x:c>
      <x:c r="I39" s="22" t="str">
        <x:v>Caregiver + nurse; dietitian/SLP as indicated</x:v>
      </x:c>
    </x:row>
    <x:row r="40" ht="92" customHeight="1">
      <x:c r="A40" s="22" t="str">
        <x:v>AS-08</x:v>
      </x:c>
      <x:c r="B40" s="22" t="str">
        <x:v>Nutrition / Hydration / Swallowing</x:v>
      </x:c>
      <x:c r="C40" s="32" t="n">
        <x:v>3</x:v>
      </x:c>
      <x:c r="D40" s="22" t="str">
        <x:v>Improve or maintain nutritional and hydration status through frequent individualized support for intake, weight or swallowing concerns.</x:v>
      </x:c>
      <x:c r="E40" s="22" t="str">
        <x:v>• Provide frequent individualized feeding/intake support and close monitoring.
• Follow prescribed texture, positioning and swallowing precautions.
• Track weight/intake/hydration trends and tolerance to supplements.
• Coordinate clinical/dietitian/speech review for unresolved concerns.</x:v>
      </x:c>
      <x:c r="F40" s="22" t="str">
        <x:v>Frequent; every meal/snack</x:v>
      </x:c>
      <x:c r="G40" s="22" t="str">
        <x:v>• Dysphagia: follow SLP-prescribed texture/positioning; stop and report coughing/choking/wet voice.
• Severe malnutrition: frequent nutrient-dense intake opportunities per plan.</x:v>
      </x:c>
      <x:c r="H40" s="22" t="str">
        <x:v>Choking, aspiration signs, rapid weight loss, inability to maintain hydration or oral intake.</x:v>
      </x:c>
      <x:c r="I40" s="22" t="str">
        <x:v>Caregiver + nurse; dietitian/SLP as indicated</x:v>
      </x:c>
    </x:row>
    <x:row r="41" ht="92" customHeight="1">
      <x:c r="A41" s="22" t="str">
        <x:v>AS-08</x:v>
      </x:c>
      <x:c r="B41" s="22" t="str">
        <x:v>Nutrition / Hydration / Swallowing</x:v>
      </x:c>
      <x:c r="C41" s="32" t="n">
        <x:v>4</x:v>
      </x:c>
      <x:c r="D41" s="22" t="str">
        <x:v>Maintain adequate nutrition, hydration, comfort and dignity through extensive feeding support and individualized management of significant ongoing nutritional needs.</x:v>
      </x:c>
      <x:c r="E41" s="22" t="str">
        <x:v>• Provide extensive feeding assistance while maintaining dignity and preferred pacing.
• Follow all swallowing, texture, positioning and oral-care instructions.
• Monitor tolerance, hydration, weight and signs of aspiration closely.
• Escalate when oral intake cannot safely/adequately meet needs or care exceeds capability.</x:v>
      </x:c>
      <x:c r="F41" s="22" t="str">
        <x:v>Every intake episode; high-frequency</x:v>
      </x:c>
      <x:c r="G41" s="22" t="str">
        <x:v>• Advanced dementia feeding dependence: slow hand feeding, cue swallowing, honor comfort-focused plan.
• Severe dysphagia: strictly follow specialist plan; emergency response for choking.</x:v>
      </x:c>
      <x:c r="H41" s="22" t="str">
        <x:v>Recurrent aspiration/choking, inability to hydrate/nourish orally or enteral-feeding needs beyond scope.</x:v>
      </x:c>
      <x:c r="I41" s="22" t="str">
        <x:v>Caregiver + nurse; dietitian/SLP as indicated</x:v>
      </x:c>
    </x:row>
    <x:row r="42" ht="92" customHeight="1">
      <x:c r="A42" s="22" t="str">
        <x:v>AS-09</x:v>
      </x:c>
      <x:c r="B42" s="22" t="str">
        <x:v>Communication</x:v>
      </x:c>
      <x:c r="C42" s="32" t="n">
        <x:v>0</x:v>
      </x:c>
      <x:c r="D42" s="22" t="str">
        <x:v>Maintain effective independent communication and participation in decisions using the resident’s preferred communication method.</x:v>
      </x:c>
      <x:c r="E42" s="22" t="str">
        <x:v>• Communicate directly with resident using preferred language/method.
• Ensure normal access to glasses/hearing aids.
• Include resident in care discussions and decisions.
• Observe for new hearing, vision, speech or comprehension changes.</x:v>
      </x:c>
      <x:c r="F42" s="22" t="str">
        <x:v>Routine</x:v>
      </x:c>
      <x:c r="G42" s="22" t="str">
        <x:v>• Bilingual resident: use preferred language for important care discussions.
• Corrected vision/hearing: keep aids clean, charged and accessible.</x:v>
      </x:c>
      <x:c r="H42" s="22" t="str">
        <x:v>New sensory loss, communication breakdown or acute neurologic change.</x:v>
      </x:c>
      <x:c r="I42" s="22" t="str">
        <x:v>Caregiver; SLP/audiology/vision support as indicated</x:v>
      </x:c>
    </x:row>
    <x:row r="43" ht="92" customHeight="1">
      <x:c r="A43" s="22" t="str">
        <x:v>AS-09</x:v>
      </x:c>
      <x:c r="B43" s="22" t="str">
        <x:v>Communication</x:v>
      </x:c>
      <x:c r="C43" s="32" t="n">
        <x:v>1</x:v>
      </x:c>
      <x:c r="D43" s="22" t="str">
        <x:v>Support effective communication through occasional cueing, environmental adjustment or use of preferred sensory aids.</x:v>
      </x:c>
      <x:c r="E43" s="22" t="str">
        <x:v>• Reduce background noise and face resident when speaking.
• Provide occasional repetition, written cue or visual prompt.
• Check that glasses/hearing aids are in place before care instructions.
• Allow extra response time.</x:v>
      </x:c>
      <x:c r="F43" s="22" t="str">
        <x:v>As needed</x:v>
      </x:c>
      <x:c r="G43" s="22" t="str">
        <x:v>• Hearing loss: speak clearly at normal pace; do not shout.
• Low vision: use high-contrast labels and good lighting.</x:v>
      </x:c>
      <x:c r="H43" s="22" t="str">
        <x:v>Regular communication support needed or resident cannot express needs reliably.</x:v>
      </x:c>
      <x:c r="I43" s="22" t="str">
        <x:v>Caregiver; SLP/audiology/vision support as indicated</x:v>
      </x:c>
    </x:row>
    <x:row r="44" ht="92" customHeight="1">
      <x:c r="A44" s="22" t="str">
        <x:v>AS-09</x:v>
      </x:c>
      <x:c r="B44" s="22" t="str">
        <x:v>Communication</x:v>
      </x:c>
      <x:c r="C44" s="32" t="n">
        <x:v>2</x:v>
      </x:c>
      <x:c r="D44" s="22" t="str">
        <x:v>Promote understanding and expression through regular communication support, sensory aids and appropriate adaptation of the environment.</x:v>
      </x:c>
      <x:c r="E44" s="22" t="str">
        <x:v>• Use consistent communication aids/strategies across staff.
• Present information in short phrases and confirm understanding.
• Ensure sensory devices are maintained and available.
• Document effective communication methods and resident preferences.</x:v>
      </x:c>
      <x:c r="F44" s="22" t="str">
        <x:v>Regular throughout care</x:v>
      </x:c>
      <x:c r="G44" s="22" t="str">
        <x:v>• Aphasia: use pictures/gestures/yes-no questions and allow time.
• Dementia: simple language plus visual demonstration.</x:v>
      </x:c>
      <x:c r="H44" s="22" t="str">
        <x:v>Frequent inability to express basic needs, aspiration/speech changes or communication failure affecting safety.</x:v>
      </x:c>
      <x:c r="I44" s="22" t="str">
        <x:v>Caregiver; SLP/audiology/vision support as indicated</x:v>
      </x:c>
    </x:row>
    <x:row r="45" ht="92" customHeight="1">
      <x:c r="A45" s="22" t="str">
        <x:v>AS-09</x:v>
      </x:c>
      <x:c r="B45" s="22" t="str">
        <x:v>Communication</x:v>
      </x:c>
      <x:c r="C45" s="32" t="n">
        <x:v>3</x:v>
      </x:c>
      <x:c r="D45" s="22" t="str">
        <x:v>Maintain meaningful communication through frequent individualized approaches, simplified information and appropriate sensory support.</x:v>
      </x:c>
      <x:c r="E45" s="22" t="str">
        <x:v>• Use individualized communication plan during most interactions.
• Anticipate needs and confirm through gestures, behavior and context.
• Limit questions to one concept at a time and use visual/tactile cues as appropriate.
• Coordinate speech/hearing/vision evaluation when indicated.</x:v>
      </x:c>
      <x:c r="F45" s="22" t="str">
        <x:v>Frequent / most interactions</x:v>
      </x:c>
      <x:c r="G45" s="22" t="str">
        <x:v>• Post-stroke aphasia: use communication board and consistent yes/no signal.
• Severe hearing loss: written/visual communication if resident can use it.</x:v>
      </x:c>
      <x:c r="H45" s="22" t="str">
        <x:v>Resident cannot communicate pain/basic needs reliably or sudden speech change.</x:v>
      </x:c>
      <x:c r="I45" s="22" t="str">
        <x:v>Caregiver; SLP/audiology/vision support as indicated</x:v>
      </x:c>
    </x:row>
    <x:row r="46" ht="92" customHeight="1">
      <x:c r="A46" s="22" t="str">
        <x:v>AS-09</x:v>
      </x:c>
      <x:c r="B46" s="22" t="str">
        <x:v>Communication</x:v>
      </x:c>
      <x:c r="C46" s="32" t="n">
        <x:v>4</x:v>
      </x:c>
      <x:c r="D46" s="22" t="str">
        <x:v>Maintain connection, comfort and ability to express basic needs through consistent individualized communication strategies and interpretation of verbal and non-verbal cues.</x:v>
      </x:c>
      <x:c r="E46" s="22" t="str">
        <x:v>• Use consistent individualized verbal and non-verbal communication at all care encounters.
• Interpret behavior/non-verbal cues for pain, fear, hunger, toileting and comfort.
• Offer simple choices using objects, pictures or gestures.
• Share successful signals/cues across all caregivers.</x:v>
      </x:c>
      <x:c r="F46" s="22" t="str">
        <x:v>Continuous across care day</x:v>
      </x:c>
      <x:c r="G46" s="22" t="str">
        <x:v>• Advanced dementia: rely on facial expression, body language and familiar sensory cues.
• Severe aphasia: use established augmentative communication method if available.</x:v>
      </x:c>
      <x:c r="H46" s="22" t="str">
        <x:v>New unresponsiveness, acute neurologic change or inability to meet needs safely.</x:v>
      </x:c>
      <x:c r="I46" s="22" t="str">
        <x:v>Caregiver; SLP/audiology/vision support as indicated</x:v>
      </x:c>
    </x:row>
    <x:row r="47" ht="92" customHeight="1">
      <x:c r="A47" s="22" t="str">
        <x:v>AS-10</x:v>
      </x:c>
      <x:c r="B47" s="22" t="str">
        <x:v>Continence / Toileting</x:v>
      </x:c>
      <x:c r="C47" s="32" t="n">
        <x:v>0</x:v>
      </x:c>
      <x:c r="D47" s="22" t="str">
        <x:v>Maintain independent toileting and continence routines while respecting privacy and personal preferences.</x:v>
      </x:c>
      <x:c r="E47" s="22" t="str">
        <x:v>• Allow independent toileting and privacy.
• Keep bathroom route clear and supplies accessible.
• Respect usual toileting schedule and hygiene products.
• Observe for new urgency, accidents, constipation or urinary symptoms.</x:v>
      </x:c>
      <x:c r="F47" s="22" t="str">
        <x:v>Routine</x:v>
      </x:c>
      <x:c r="G47" s="22" t="str">
        <x:v>• History of UTI: encourage usual hydration and report new urinary symptoms.
• Constipation tendency: support usual diet/activity plan.</x:v>
      </x:c>
      <x:c r="H47" s="22" t="str">
        <x:v>New incontinence, urinary symptoms, constipation or need for assistance.</x:v>
      </x:c>
      <x:c r="I47" s="22" t="str">
        <x:v>Caregiver + nurse</x:v>
      </x:c>
    </x:row>
    <x:row r="48" ht="92" customHeight="1">
      <x:c r="A48" s="22" t="str">
        <x:v>AS-10</x:v>
      </x:c>
      <x:c r="B48" s="22" t="str">
        <x:v>Continence / Toileting</x:v>
      </x:c>
      <x:c r="C48" s="32" t="n">
        <x:v>1</x:v>
      </x:c>
      <x:c r="D48" s="22" t="str">
        <x:v>Maintain independence with toileting through occasional cueing or setup while preserving privacy and dignity.</x:v>
      </x:c>
      <x:c r="E48" s="22" t="str">
        <x:v>• Provide occasional reminders, setup or standby assistance for toileting.
• Ensure clothing/continence supplies are easy to manage.
• Prompt before outings/bedtime if consistent with preference.
• Document new accidents or increasing cueing need.</x:v>
      </x:c>
      <x:c r="F48" s="22" t="str">
        <x:v>Occasional / as needed</x:v>
      </x:c>
      <x:c r="G48" s="22" t="str">
        <x:v>• Early dementia: scheduled reminders at familiar times.
• Mobility limitation: ensure device is positioned for bathroom access.</x:v>
      </x:c>
      <x:c r="H48" s="22" t="str">
        <x:v>Regular toileting assistance, repeated accidents or skin irritation.</x:v>
      </x:c>
      <x:c r="I48" s="22" t="str">
        <x:v>Caregiver + nurse</x:v>
      </x:c>
    </x:row>
    <x:row r="49" ht="92" customHeight="1">
      <x:c r="A49" s="22" t="str">
        <x:v>AS-10</x:v>
      </x:c>
      <x:c r="B49" s="22" t="str">
        <x:v>Continence / Toileting</x:v>
      </x:c>
      <x:c r="C49" s="32" t="n">
        <x:v>2</x:v>
      </x:c>
      <x:c r="D49" s="22" t="str">
        <x:v>Support regular toileting while maintaining dignity and independence. Provide assistance as needed and monitor continence and skin integrity.</x:v>
      </x:c>
      <x:c r="E49" s="22" t="str">
        <x:v>• Provide regular toileting assistance or continence care on individualized schedule.
• Assist with clothing, transfer, cleansing and product change as needed.
• Monitor continence pattern, urine/stool changes and skin condition.
• Encourage fluids and bowel routine consistent with clinical plan.</x:v>
      </x:c>
      <x:c r="F49" s="22" t="str">
        <x:v>Regular / scheduled and as needed</x:v>
      </x:c>
      <x:c r="G49" s="22" t="str">
        <x:v>• Urinary incontinence: prompt toileting and prompt product changes.
• UTI risk: report dysuria, fever, new confusion, foul/cloudy urine per clinical protocol.</x:v>
      </x:c>
      <x:c r="H49" s="22" t="str">
        <x:v>Frequent diaper care workload, skin breakdown, retention, recurrent UTI or constipation.</x:v>
      </x:c>
      <x:c r="I49" s="22" t="str">
        <x:v>Caregiver + nurse</x:v>
      </x:c>
    </x:row>
    <x:row r="50" ht="92" customHeight="1">
      <x:c r="A50" s="22" t="str">
        <x:v>AS-10</x:v>
      </x:c>
      <x:c r="B50" s="22" t="str">
        <x:v>Continence / Toileting</x:v>
      </x:c>
      <x:c r="C50" s="32" t="n">
        <x:v>3</x:v>
      </x:c>
      <x:c r="D50" s="22" t="str">
        <x:v>Maintain comfort, hygiene and skin integrity through frequent hands-on toileting or continence care while encouraging participation as able.</x:v>
      </x:c>
      <x:c r="E50" s="22" t="str">
        <x:v>• Provide frequent hands-on toileting/diaper care and prompt hygiene.
• Use proactive toileting schedule to reduce urgency and unsafe rushing.
• Apply skin barrier/protective care as ordered/policy.
• Track bowel pattern and escalate unresolved constipation/diarrhea.</x:v>
      </x:c>
      <x:c r="F50" s="22" t="str">
        <x:v>Frequent / multiple episodes daily</x:v>
      </x:c>
      <x:c r="G50" s="22" t="str">
        <x:v>• Advanced dementia: watch behavior for non-verbal toileting cues.
• Fecal incontinence: prompt cleansing and skin protection after each episode.</x:v>
      </x:c>
      <x:c r="H50" s="22" t="str">
        <x:v>Skin injury, blood in urine/stool, inability to toilet safely or very high-frequency care.</x:v>
      </x:c>
      <x:c r="I50" s="22" t="str">
        <x:v>Caregiver + nurse</x:v>
      </x:c>
    </x:row>
    <x:row r="51" ht="92" customHeight="1">
      <x:c r="A51" s="22" t="str">
        <x:v>AS-10</x:v>
      </x:c>
      <x:c r="B51" s="22" t="str">
        <x:v>Continence / Toileting</x:v>
      </x:c>
      <x:c r="C51" s="32" t="n">
        <x:v>4</x:v>
      </x:c>
      <x:c r="D51" s="22" t="str">
        <x:v>Maintain comfort, dignity, hygiene and skin integrity through comprehensive high-frequency toileting and continence care.</x:v>
      </x:c>
      <x:c r="E51" s="22" t="str">
        <x:v>• Provide near-total continence/toileting assistance with high-frequency checks.
• Change soiled products promptly and provide thorough gentle skin care.
• Use safe transfer/repositioning plan for all toileting care.
• Maintain dignity, privacy and comfort at each episode.</x:v>
      </x:c>
      <x:c r="F51" s="22" t="str">
        <x:v>High-frequency / comprehensive</x:v>
      </x:c>
      <x:c r="G51" s="22" t="str">
        <x:v>• Severe immobility: use bed-level continence care and repositioning plan.
• Chronic diarrhea/incontinence: close hydration and skin monitoring; clinical review.</x:v>
      </x:c>
      <x:c r="H51" s="22" t="str">
        <x:v>Recurrent skin breakdown, retention, GI/GU bleeding or care exceeds service capability.</x:v>
      </x:c>
      <x:c r="I51" s="22" t="str">
        <x:v>Caregiver + nurse</x:v>
      </x:c>
    </x:row>
    <x:row r="52" ht="92" customHeight="1">
      <x:c r="A52" s="22" t="str">
        <x:v>AS-11</x:v>
      </x:c>
      <x:c r="B52" s="22" t="str">
        <x:v>Skin Integrity</x:v>
      </x:c>
      <x:c r="C52" s="32" t="n">
        <x:v>0</x:v>
      </x:c>
      <x:c r="D52" s="22" t="str">
        <x:v>Maintain healthy, intact skin through routine hygiene, mobility, nutrition and skin care.</x:v>
      </x:c>
      <x:c r="E52" s="22" t="str">
        <x:v>• Perform routine skin observation during bathing/dressing.
• Maintain normal hygiene, moisturization and mobility.
• Keep skin clean and dry.
• Report new redness, rash, wound or bruising.</x:v>
      </x:c>
      <x:c r="F52" s="22" t="str">
        <x:v>Routine personal care</x:v>
      </x:c>
      <x:c r="G52" s="22" t="str">
        <x:v>• Diabetes: routine foot/skin observation; no invasive foot care outside scope.
• Dry skin: use preferred moisturizer if suitable.</x:v>
      </x:c>
      <x:c r="H52" s="22" t="str">
        <x:v>Non-blanching redness, open area, infection signs or unexplained bruising.</x:v>
      </x:c>
      <x:c r="I52" s="22" t="str">
        <x:v>Nurse-led; caregiver prevention/observation</x:v>
      </x:c>
    </x:row>
    <x:row r="53" ht="92" customHeight="1">
      <x:c r="A53" s="22" t="str">
        <x:v>AS-11</x:v>
      </x:c>
      <x:c r="B53" s="22" t="str">
        <x:v>Skin Integrity</x:v>
      </x:c>
      <x:c r="C53" s="32" t="n">
        <x:v>1</x:v>
      </x:c>
      <x:c r="D53" s="22" t="str">
        <x:v>Maintain intact skin through preventive measures and monitoring of identified skin-risk factors.</x:v>
      </x:c>
      <x:c r="E53" s="22" t="str">
        <x:v>• Inspect identified risk areas regularly.
• Use preventive off-loading/position changes as indicated.
• Manage moisture promptly and protect fragile skin.
• Document any persistent redness or skin change.</x:v>
      </x:c>
      <x:c r="F53" s="22" t="str">
        <x:v>Daily / per risk plan</x:v>
      </x:c>
      <x:c r="G53" s="22" t="str">
        <x:v>• Incontinence: barrier protection and prompt cleansing.
• Frailty: protect bony prominences and avoid friction/shear.</x:v>
      </x:c>
      <x:c r="H53" s="22" t="str">
        <x:v>Persistent redness, blister/open area or increasing pressure/moisture exposure.</x:v>
      </x:c>
      <x:c r="I53" s="22" t="str">
        <x:v>Nurse-led; caregiver prevention/observation</x:v>
      </x:c>
    </x:row>
    <x:row r="54" ht="92" customHeight="1">
      <x:c r="A54" s="22" t="str">
        <x:v>AS-11</x:v>
      </x:c>
      <x:c r="B54" s="22" t="str">
        <x:v>Skin Integrity</x:v>
      </x:c>
      <x:c r="C54" s="32" t="n">
        <x:v>2</x:v>
      </x:c>
      <x:c r="D54" s="22" t="str">
        <x:v>Protect skin integrity and promote healing through regular skin care, pressure prevention and monitoring of affected or vulnerable areas.</x:v>
      </x:c>
      <x:c r="E54" s="22" t="str">
        <x:v>• Provide regular skin/wound care according to written orders.
• Implement pressure prevention and repositioning schedule.
• Track wound/skin appearance and report deterioration.
• Support nutrition/hydration relevant to skin healing.</x:v>
      </x:c>
      <x:c r="F54" s="22" t="str">
        <x:v>Regular / ordered schedule</x:v>
      </x:c>
      <x:c r="G54" s="22" t="str">
        <x:v>• Stage 1/2 pressure injury: follow wound plan and off-loading instructions.
• Diabetes: monitor feet for breaks, redness, warmth or infection signs.</x:v>
      </x:c>
      <x:c r="H54" s="22" t="str">
        <x:v>Wound enlargement, drainage/odor, fever, worsening pain or new pressure injury.</x:v>
      </x:c>
      <x:c r="I54" s="22" t="str">
        <x:v>Nurse-led; caregiver prevention/observation</x:v>
      </x:c>
    </x:row>
    <x:row r="55" ht="92" customHeight="1">
      <x:c r="A55" s="22" t="str">
        <x:v>AS-11</x:v>
      </x:c>
      <x:c r="B55" s="22" t="str">
        <x:v>Skin Integrity</x:v>
      </x:c>
      <x:c r="C55" s="32" t="n">
        <x:v>3</x:v>
      </x:c>
      <x:c r="D55" s="22" t="str">
        <x:v>Promote healing and prevent further skin breakdown through frequent individualized skin or wound care and pressure-management measures.</x:v>
      </x:c>
      <x:c r="E55" s="22" t="str">
        <x:v>• Provide frequent individualized wound/skin care and pressure management.
• Reposition/off-load at prescribed frequency and document completion.
• Monitor drainage, odor, surrounding skin, pain and systemic symptoms.
• Coordinate wound-clinician/medical review.</x:v>
      </x:c>
      <x:c r="F55" s="22" t="str">
        <x:v>Frequent / multiple times daily as ordered</x:v>
      </x:c>
      <x:c r="G55" s="22" t="str">
        <x:v>• Multiple wounds: separate supplies and follow infection-control procedure.
• Moisture-associated skin damage: frequent continence care and barrier plan.</x:v>
      </x:c>
      <x:c r="H55" s="22" t="str">
        <x:v>Rapid deterioration, spreading infection, necrosis or wound needs beyond capability.</x:v>
      </x:c>
      <x:c r="I55" s="22" t="str">
        <x:v>Nurse-led; caregiver prevention/observation</x:v>
      </x:c>
    </x:row>
    <x:row r="56" ht="92" customHeight="1">
      <x:c r="A56" s="22" t="str">
        <x:v>AS-11</x:v>
      </x:c>
      <x:c r="B56" s="22" t="str">
        <x:v>Skin Integrity</x:v>
      </x:c>
      <x:c r="C56" s="32" t="n">
        <x:v>4</x:v>
      </x:c>
      <x:c r="D56" s="22" t="str">
        <x:v>Maintain healing, comfort and prevention of further deterioration through intensive individualized skin/wound management and coordinated clinical care.</x:v>
      </x:c>
      <x:c r="E56" s="22" t="str">
        <x:v>• Provide intensive skin/wound management within service scope.
• Use strict pressure-relief, positioning and moisture-control plan.
• Maintain comfort/pain observation during care.
• Coordinate urgent review when healing is poor or systemic signs appear.</x:v>
      </x:c>
      <x:c r="F56" s="22" t="str">
        <x:v>High-frequency / intensive</x:v>
      </x:c>
      <x:c r="G56" s="22" t="str">
        <x:v>• Advanced pressure injury: follow specialist wound plan; monitor for infection/sepsis signs.
• End-of-life skin changes: prioritize comfort and goals of care.</x:v>
      </x:c>
      <x:c r="H56" s="22" t="str">
        <x:v>Suspected deep infection/sepsis, uncontrolled pain or advanced wound care beyond capability.</x:v>
      </x:c>
      <x:c r="I56" s="22" t="str">
        <x:v>Nurse-led; caregiver prevention/observation</x:v>
      </x:c>
    </x:row>
    <x:row r="57" ht="92" customHeight="1">
      <x:c r="A57" s="22" t="str">
        <x:v>AS-12</x:v>
      </x:c>
      <x:c r="B57" s="22" t="str">
        <x:v>Sleep / Night Routine</x:v>
      </x:c>
      <x:c r="C57" s="32" t="n">
        <x:v>0</x:v>
      </x:c>
      <x:c r="D57" s="22" t="str">
        <x:v>Maintain the resident’s preferred sleep and daily routine with minimal staff intervention.</x:v>
      </x:c>
      <x:c r="E57" s="22" t="str">
        <x:v>• Respect resident’s preferred bedtime, wake time and sleep environment.
• Minimize unnecessary nighttime interruptions.
• Support usual bedtime routine and comfort items.
• Observe for new sleep disruption or daytime somnolence.</x:v>
      </x:c>
      <x:c r="F57" s="22" t="str">
        <x:v>Nightly / routine</x:v>
      </x:c>
      <x:c r="G57" s="22" t="str">
        <x:v>• Nocturia history: keep safe path to toilet.
• Light sleeper: cluster care to avoid awakenings.</x:v>
      </x:c>
      <x:c r="H57" s="22" t="str">
        <x:v>Persistent insomnia, nighttime confusion, unsafe wandering or daytime impairment.</x:v>
      </x:c>
      <x:c r="I57" s="22" t="str">
        <x:v>Caregiver + nurse if persistent change</x:v>
      </x:c>
    </x:row>
    <x:row r="58" ht="92" customHeight="1">
      <x:c r="A58" s="22" t="str">
        <x:v>AS-12</x:v>
      </x:c>
      <x:c r="B58" s="22" t="str">
        <x:v>Sleep / Night Routine</x:v>
      </x:c>
      <x:c r="C58" s="32" t="n">
        <x:v>1</x:v>
      </x:c>
      <x:c r="D58" s="22" t="str">
        <x:v>Maintain a comfortable sleep routine with occasional reassurance or cueing while respecting preferred bedtime and waking habits.</x:v>
      </x:c>
      <x:c r="E58" s="22" t="str">
        <x:v>• Provide occasional reassurance, cueing or comfort at night.
• Offer toileting or repositioning when requested/indicated.
• Use low-stimulation approach during nighttime awakenings.
• Document recurring pattern if support becomes frequent.</x:v>
      </x:c>
      <x:c r="F58" s="22" t="str">
        <x:v>Occasional nights / as needed</x:v>
      </x:c>
      <x:c r="G58" s="22" t="str">
        <x:v>• Early dementia: gentle reorientation to time/place.
• Pain: report repeated nighttime pain rather than only reassuring.</x:v>
      </x:c>
      <x:c r="H58" s="22" t="str">
        <x:v>Night support becomes regular, repeated falls risk or day/night reversal.</x:v>
      </x:c>
      <x:c r="I58" s="22" t="str">
        <x:v>Caregiver + nurse if persistent change</x:v>
      </x:c>
    </x:row>
    <x:row r="59" ht="92" customHeight="1">
      <x:c r="A59" s="22" t="str">
        <x:v>AS-12</x:v>
      </x:c>
      <x:c r="B59" s="22" t="str">
        <x:v>Sleep / Night Routine</x:v>
      </x:c>
      <x:c r="C59" s="32" t="n">
        <x:v>2</x:v>
      </x:c>
      <x:c r="D59" s="22" t="str">
        <x:v>Promote restful sleep and a consistent daily routine through regular individualized nighttime or routine support.</x:v>
      </x:c>
      <x:c r="E59" s="22" t="str">
        <x:v>• Implement consistent bedtime routine and regular nighttime supports.
• Provide scheduled toileting/repositioning if care plan indicates.
• Reduce evening stimulation and support daytime activity/light exposure.
• Track sleep pattern and effectiveness of interventions.</x:v>
      </x:c>
      <x:c r="F59" s="22" t="str">
        <x:v>Regular nightly</x:v>
      </x:c>
      <x:c r="G59" s="22" t="str">
        <x:v>• Dementia sundowning: predictable evening routine, calm activity and reduced noise.
• Nocturia/incontinence: planned toileting while minimizing sleep disruption.</x:v>
      </x:c>
      <x:c r="H59" s="22" t="str">
        <x:v>Frequent awakenings despite plan, agitation, unsafe wandering or marked daytime decline.</x:v>
      </x:c>
      <x:c r="I59" s="22" t="str">
        <x:v>Caregiver + nurse if persistent change</x:v>
      </x:c>
    </x:row>
    <x:row r="60" ht="92" customHeight="1">
      <x:c r="A60" s="22" t="str">
        <x:v>AS-12</x:v>
      </x:c>
      <x:c r="B60" s="22" t="str">
        <x:v>Sleep / Night Routine</x:v>
      </x:c>
      <x:c r="C60" s="32" t="n">
        <x:v>3</x:v>
      </x:c>
      <x:c r="D60" s="22" t="str">
        <x:v>Improve sleep, comfort and day/night routine through frequent individualized interventions while minimizing unnecessary disruption.</x:v>
      </x:c>
      <x:c r="E60" s="22" t="str">
        <x:v>• Provide frequent individualized interventions for sleep disruption.
• Use structured day/night schedule and consistent staff approach.
• Assess common causes of waking: pain, toileting, hunger, anxiety, environment.
• Coordinate clinical review for persistent change.</x:v>
      </x:c>
      <x:c r="F60" s="22" t="str">
        <x:v>Frequent each night / day</x:v>
      </x:c>
      <x:c r="G60" s="22" t="str">
        <x:v>• Advanced dementia: daytime engagement plus calm evening cues.
• Sleep apnea suspicion: report loud snoring/apneas/daytime somnolence for medical review.</x:v>
      </x:c>
      <x:c r="H60" s="22" t="str">
        <x:v>Persistent severe disruption, delirium, recurrent nighttime falls or care burden escalation.</x:v>
      </x:c>
      <x:c r="I60" s="22" t="str">
        <x:v>Caregiver + nurse if persistent change</x:v>
      </x:c>
    </x:row>
    <x:row r="61" ht="92" customHeight="1">
      <x:c r="A61" s="22" t="str">
        <x:v>AS-12</x:v>
      </x:c>
      <x:c r="B61" s="22" t="str">
        <x:v>Sleep / Night Routine</x:v>
      </x:c>
      <x:c r="C61" s="32" t="n">
        <x:v>4</x:v>
      </x:c>
      <x:c r="D61" s="22" t="str">
        <x:v>Promote comfort and the most stable day/night pattern achievable through intensive individualized support based on the resident’s established preferences and responses.</x:v>
      </x:c>
      <x:c r="E61" s="22" t="str">
        <x:v>• Provide intensive individualized day/night support while prioritizing comfort.
• Maintain close supervision during unsafe nighttime activity.
• Use non-pharmacologic calming and familiar routines first where appropriate.
• Escalate sudden severe sleep/wake change as possible acute illness/delirium.</x:v>
      </x:c>
      <x:c r="F61" s="22" t="str">
        <x:v>High-frequency / persistent</x:v>
      </x:c>
      <x:c r="G61" s="22" t="str">
        <x:v>• Severe dementia day-night reversal: individualized 24-hour routine with meaningful daytime activity.
• Terminal illness: align nighttime interventions with comfort-focused goals.</x:v>
      </x:c>
      <x:c r="H61" s="22" t="str">
        <x:v>Inability to maintain safety, acute delirium or need for one-to-one support beyond capability.</x:v>
      </x:c>
      <x:c r="I61" s="22" t="str">
        <x:v>Caregiver + nurse if persistent change</x:v>
      </x:c>
    </x:row>
    <x:row r="62" ht="92" customHeight="1">
      <x:c r="A62" s="22" t="str">
        <x:v>AS-13</x:v>
      </x:c>
      <x:c r="B62" s="22" t="str">
        <x:v>Safety / Supervision</x:v>
      </x:c>
      <x:c r="C62" s="32" t="n">
        <x:v>0</x:v>
      </x:c>
      <x:c r="D62" s="22" t="str">
        <x:v>Maintain independent and safe participation in daily life with routine environmental safety measures.</x:v>
      </x:c>
      <x:c r="E62" s="22" t="str">
        <x:v>• Maintain routine environmental safety checks.
• Keep emergency/call systems accessible.
• Respect resident’s normal independence and privacy.
• Document any new safety event or unsafe judgment.</x:v>
      </x:c>
      <x:c r="F62" s="22" t="str">
        <x:v>Routine</x:v>
      </x:c>
      <x:c r="G62" s="22" t="str">
        <x:v>• Kitchen use: ensure resident follows usual safe practices.
• Community outings: normal sign-out/communication process.</x:v>
      </x:c>
      <x:c r="H62" s="22" t="str">
        <x:v>New unsafe behavior, wandering, fire risk or inability to seek help.</x:v>
      </x:c>
      <x:c r="I62" s="22" t="str">
        <x:v>Caregiver + nurse / administrator per risk plan</x:v>
      </x:c>
    </x:row>
    <x:row r="63" ht="92" customHeight="1">
      <x:c r="A63" s="22" t="str">
        <x:v>AS-13</x:v>
      </x:c>
      <x:c r="B63" s="22" t="str">
        <x:v>Safety / Supervision</x:v>
      </x:c>
      <x:c r="C63" s="32" t="n">
        <x:v>1</x:v>
      </x:c>
      <x:c r="D63" s="22" t="str">
        <x:v>Maintain independence with occasional safety reminders, reassurance or supervision as needed.</x:v>
      </x:c>
      <x:c r="E63" s="22" t="str">
        <x:v>• Provide occasional reminders about identified safety risks.
• Check that commonly used equipment is used correctly.
• Offer standby supervision for unfamiliar/high-risk situations.
• Document repeated unsafe choices.</x:v>
      </x:c>
      <x:c r="F63" s="22" t="str">
        <x:v>Occasional / situational</x:v>
      </x:c>
      <x:c r="G63" s="22" t="str">
        <x:v>• Mild cognitive impairment: reminders for locking brakes, calling for help.
• Low vision: keep environment consistent and hazards removed.</x:v>
      </x:c>
      <x:c r="H63" s="22" t="str">
        <x:v>Regular supervision becomes necessary or unsafe judgment increases.</x:v>
      </x:c>
      <x:c r="I63" s="22" t="str">
        <x:v>Caregiver + nurse / administrator per risk plan</x:v>
      </x:c>
    </x:row>
    <x:row r="64" ht="92" customHeight="1">
      <x:c r="A64" s="22" t="str">
        <x:v>AS-13</x:v>
      </x:c>
      <x:c r="B64" s="22" t="str">
        <x:v>Safety / Supervision</x:v>
      </x:c>
      <x:c r="C64" s="32" t="n">
        <x:v>2</x:v>
      </x:c>
      <x:c r="D64" s="22" t="str">
        <x:v>Maintain safety through regular supervision and individualized precautions for identified risks while preserving freedom and independence.</x:v>
      </x:c>
      <x:c r="E64" s="22" t="str">
        <x:v>• Provide regular supervision and individualized safety precautions.
• Use predictable routine/environment to reduce risk.
• Supervise identified high-risk activities and exits as care plan requires.
• Communicate current risks and effective precautions at handoff.</x:v>
      </x:c>
      <x:c r="F64" s="22" t="str">
        <x:v>Regular throughout day</x:v>
      </x:c>
      <x:c r="G64" s="22" t="str">
        <x:v>• Dementia: door/wayfinding cues and supervised community access.
• Unsafe judgment: limit only specific high-risk activities, not general autonomy.</x:v>
      </x:c>
      <x:c r="H64" s="22" t="str">
        <x:v>Exit-seeking, repeated unsafe acts, injury or frequent redirection need.</x:v>
      </x:c>
      <x:c r="I64" s="22" t="str">
        <x:v>Caregiver + nurse / administrator per risk plan</x:v>
      </x:c>
    </x:row>
    <x:row r="65" ht="92" customHeight="1">
      <x:c r="A65" s="22" t="str">
        <x:v>AS-13</x:v>
      </x:c>
      <x:c r="B65" s="22" t="str">
        <x:v>Safety / Supervision</x:v>
      </x:c>
      <x:c r="C65" s="32" t="n">
        <x:v>3</x:v>
      </x:c>
      <x:c r="D65" s="22" t="str">
        <x:v>Prevent injury through frequent supervision, redirection and individualized safety measures while using the least restrictive approach.</x:v>
      </x:c>
      <x:c r="E65" s="22" t="str">
        <x:v>• Provide frequent supervision/redirection during waking hours or identified periods.
• Use least restrictive environmental controls allowed by policy.
• Offer purposeful activity to reduce unsafe wandering/impulsivity.
• Maintain rapid response plan for elopement or serious safety event.</x:v>
      </x:c>
      <x:c r="F65" s="22" t="str">
        <x:v>Frequent / high-risk periods</x:v>
      </x:c>
      <x:c r="G65" s="22" t="str">
        <x:v>• Wandering: supervised walking route and identification procedures.
• Poor hazard awareness: direct supervision around stairs, kitchen, traffic or pools.</x:v>
      </x:c>
      <x:c r="H65" s="22" t="str">
        <x:v>Near-elopement, recurrent injury risk or need for continuous observation.</x:v>
      </x:c>
      <x:c r="I65" s="22" t="str">
        <x:v>Caregiver + nurse / administrator per risk plan</x:v>
      </x:c>
    </x:row>
    <x:row r="66" ht="92" customHeight="1">
      <x:c r="A66" s="22" t="str">
        <x:v>AS-13</x:v>
      </x:c>
      <x:c r="B66" s="22" t="str">
        <x:v>Safety / Supervision</x:v>
      </x:c>
      <x:c r="C66" s="32" t="n">
        <x:v>4</x:v>
      </x:c>
      <x:c r="D66" s="22" t="str">
        <x:v>Maintain safety through intensive individualized supervision and risk management while preserving dignity, meaningful activity and the least restrictive environment possible.</x:v>
      </x:c>
      <x:c r="E66" s="22" t="str">
        <x:v>• Provide intensive individualized supervision and risk management.
• Maintain team-wide safety plan with known triggers, routes and response steps.
• Use least restrictive measures and preserve meaningful movement/activity.
• Escalate when resident cannot be kept safe within current environment/staffing.</x:v>
      </x:c>
      <x:c r="F66" s="22" t="str">
        <x:v>Very frequent / near-continuous</x:v>
      </x:c>
      <x:c r="G66" s="22" t="str">
        <x:v>• Severe dementia with elopement risk: secured/monitored environment per policy and rights.
• High impulsivity: structured activities plus close supervision.</x:v>
      </x:c>
      <x:c r="H66" s="22" t="str">
        <x:v>Actual elopement, repeated dangerous behavior or need beyond service capability.</x:v>
      </x:c>
      <x:c r="I66" s="22" t="str">
        <x:v>Caregiver + nurse / administrator per risk plan</x:v>
      </x:c>
    </x:row>
    <x:row r="67" ht="92" customHeight="1">
      <x:c r="A67" s="22" t="str">
        <x:v>AS-14</x:v>
      </x:c>
      <x:c r="B67" s="22" t="str">
        <x:v>Reablement / Therapy / Functional Maintenance</x:v>
      </x:c>
      <x:c r="C67" s="32" t="n">
        <x:v>0</x:v>
      </x:c>
      <x:c r="D67" s="22" t="str">
        <x:v>Maintain current function and independence through normal daily activity; no active therapy carryover is required.</x:v>
      </x:c>
      <x:c r="E67" s="22" t="str">
        <x:v>• Encourage normal daily activity and self-directed mobility.
• Allow resident to perform functional tasks independently.
• Observe for decline in endurance, strength or function.
• Refer for reassessment if function changes.</x:v>
      </x:c>
      <x:c r="F67" s="22" t="str">
        <x:v>Routine</x:v>
      </x:c>
      <x:c r="G67" s="22" t="str">
        <x:v>• Stable arthritis: continue preferred walking/activity.
• Independent resident: no formal exercise carryover required.</x:v>
      </x:c>
      <x:c r="H67" s="22" t="str">
        <x:v>New functional decline, pain or new therapy recommendation.</x:v>
      </x:c>
      <x:c r="I67" s="22" t="str">
        <x:v>Caregiver carryover + PT/OT/ST as prescribed</x:v>
      </x:c>
    </x:row>
    <x:row r="68" ht="92" customHeight="1">
      <x:c r="A68" s="22" t="str">
        <x:v>AS-14</x:v>
      </x:c>
      <x:c r="B68" s="22" t="str">
        <x:v>Reablement / Therapy / Functional Maintenance</x:v>
      </x:c>
      <x:c r="C68" s="32" t="n">
        <x:v>1</x:v>
      </x:c>
      <x:c r="D68" s="22" t="str">
        <x:v>Maintain mobility, strength and independence through regular activity and simple exercise encouragement or home-program support.</x:v>
      </x:c>
      <x:c r="E68" s="22" t="str">
        <x:v>• Encourage prescribed/simple home exercise or walking program.
• Prompt participation in functional tasks rather than doing them for the resident.
• Record tolerance and reasons for missed activity when relevant.
• Use rest breaks and preferred activity times.</x:v>
      </x:c>
      <x:c r="F68" s="22" t="str">
        <x:v>Daily / several times weekly per plan</x:v>
      </x:c>
      <x:c r="G68" s="22" t="str">
        <x:v>• Post-hospital deconditioning: short progressive walks as tolerated.
• Frailty: sit-to-stand/strength activity only if approved and safe.</x:v>
      </x:c>
      <x:c r="H68" s="22" t="str">
        <x:v>Pain, dizziness, reduced tolerance or need for formal therapy coordination.</x:v>
      </x:c>
      <x:c r="I68" s="22" t="str">
        <x:v>Caregiver carryover + PT/OT/ST as prescribed</x:v>
      </x:c>
    </x:row>
    <x:row r="69" ht="92" customHeight="1">
      <x:c r="A69" s="22" t="str">
        <x:v>AS-14</x:v>
      </x:c>
      <x:c r="B69" s="22" t="str">
        <x:v>Reablement / Therapy / Functional Maintenance</x:v>
      </x:c>
      <x:c r="C69" s="32" t="n">
        <x:v>2</x:v>
      </x:c>
      <x:c r="D69" s="22" t="str">
        <x:v>Improve or maintain function through regular staff carryover of the therapy plan and coordination with therapy providers.</x:v>
      </x:c>
      <x:c r="E69" s="22" t="str">
        <x:v>• Carry over therapist-prescribed exercises/techniques during daily care.
• Use therapy-recommended transfer, dressing or mobility strategies.
• Document completion/tolerance and barriers.
• Coordinate schedule/progress updates with PT/OT/ST.</x:v>
      </x:c>
      <x:c r="F69" s="22" t="str">
        <x:v>Regular per therapy plan</x:v>
      </x:c>
      <x:c r="G69" s="22" t="str">
        <x:v>• Post-stroke: practice therapist-approved task sequencing.
• Dysphagia therapy: staff carryover only of SLP-prescribed techniques.</x:v>
      </x:c>
      <x:c r="H69" s="22" t="str">
        <x:v>Functional decline, inability to perform program safely or therapy plan changes.</x:v>
      </x:c>
      <x:c r="I69" s="22" t="str">
        <x:v>Caregiver carryover + PT/OT/ST as prescribed</x:v>
      </x:c>
    </x:row>
    <x:row r="70" ht="92" customHeight="1">
      <x:c r="A70" s="22" t="str">
        <x:v>AS-14</x:v>
      </x:c>
      <x:c r="B70" s="22" t="str">
        <x:v>Reablement / Therapy / Functional Maintenance</x:v>
      </x:c>
      <x:c r="C70" s="32" t="n">
        <x:v>3</x:v>
      </x:c>
      <x:c r="D70" s="22" t="str">
        <x:v>Maximize functional potential through frequent structured therapy carryover, staff assistance and ongoing coordination with the therapy team.</x:v>
      </x:c>
      <x:c r="E70" s="22" t="str">
        <x:v>• Provide frequent structured therapy carryover integrated into multiple daily routines.
• Coordinate goals and technique across caregiving, nursing and therapy.
• Track measurable functional response/tolerance.
• Adjust daily workload/rest based on therapy guidance.</x:v>
      </x:c>
      <x:c r="F70" s="22" t="str">
        <x:v>Frequent / multiple daily care episodes</x:v>
      </x:c>
      <x:c r="G70" s="22" t="str">
        <x:v>• Recent major deconditioning: repeated short mobility/ADL practice.
• Parkinsonism: reinforce therapist-prescribed cueing strategies.</x:v>
      </x:c>
      <x:c r="H70" s="22" t="str">
        <x:v>Rapid decline, pain/injury, inability to tolerate program or need for higher rehab level.</x:v>
      </x:c>
      <x:c r="I70" s="22" t="str">
        <x:v>Caregiver carryover + PT/OT/ST as prescribed</x:v>
      </x:c>
    </x:row>
    <x:row r="71" ht="92" customHeight="1">
      <x:c r="A71" s="22" t="str">
        <x:v>AS-14</x:v>
      </x:c>
      <x:c r="B71" s="22" t="str">
        <x:v>Reablement / Therapy / Functional Maintenance</x:v>
      </x:c>
      <x:c r="C71" s="32" t="n">
        <x:v>4</x:v>
      </x:c>
      <x:c r="D71" s="22" t="str">
        <x:v>Maximize achievable function, comfort and participation through intensive multidisciplinary reablement support integrated into daily care.</x:v>
      </x:c>
      <x:c r="E71" s="22" t="str">
        <x:v>• Integrate intensive multidisciplinary reablement support into daily care within capability.
• Use consistent PT/OT/ST-approved techniques across shifts.
• Balance restorative goals with fatigue, safety and comfort.
• Hold/escalate exercises when clinical status changes.</x:v>
      </x:c>
      <x:c r="F71" s="22" t="str">
        <x:v>High-frequency / multidisciplinary</x:v>
      </x:c>
      <x:c r="G71" s="22" t="str">
        <x:v>• Severe neurologic disability: goal may be maintenance, positioning and caregiver-assisted function.
• Palliative context: prioritize comfort and meaningful function over burdensome exercise.</x:v>
      </x:c>
      <x:c r="H71" s="22" t="str">
        <x:v>Clinical instability, unsafe therapy needs or rehab intensity beyond assisted-living capability.</x:v>
      </x:c>
      <x:c r="I71" s="22" t="str">
        <x:v>Caregiver carryover + PT/OT/ST as prescribed</x:v>
      </x:c>
    </x:row>
  </x:sheetData>
  <x:conditionalFormatting sqref="A2:I71">
    <x:cfRule type="expression" dxfId="0" priority="1">
      <x:formula>$C2=0</x:formula>
    </x:cfRule>
    <x:cfRule type="expression" dxfId="1" priority="2">
      <x:formula>$C2=1</x:formula>
    </x:cfRule>
    <x:cfRule type="expression" dxfId="2" priority="3">
      <x:formula>$C2=2</x:formula>
    </x:cfRule>
    <x:cfRule type="expression" dxfId="3" priority="4">
      <x:formula>$C2=3</x:formula>
    </x:cfRule>
    <x:cfRule type="expression" dxfId="4" priority="5">
      <x:formula>$C2=4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6f3bb77f43dc4ab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1" hidden="0" customWidth="1"/>
    <x:col min="3" max="3" width="25" hidden="0" customWidth="1"/>
    <x:col min="4" max="4" width="8" hidden="0" customWidth="1"/>
    <x:col min="5" max="5" width="18" hidden="0" customWidth="1"/>
    <x:col min="6" max="6" width="62" hidden="0" customWidth="1"/>
    <x:col min="7" max="7" width="28" hidden="0" customWidth="1"/>
    <x:col min="8" max="8" width="34" hidden="0" customWidth="1"/>
    <x:col min="9" max="9" width="26" hidden="0" customWidth="1"/>
    <x:col min="10" max="10" width="55" hidden="0" customWidth="1"/>
  </x:cols>
  <x:sheetData>
    <x:row r="1" ht="34" customHeight="1">
      <x:c r="A1" s="27" t="str">
        <x:v>Task ID</x:v>
      </x:c>
      <x:c r="B1" s="27" t="str">
        <x:v>Domain Code</x:v>
      </x:c>
      <x:c r="C1" s="27" t="str">
        <x:v>Assessment Domain</x:v>
      </x:c>
      <x:c r="D1" s="27" t="str">
        <x:v>Score</x:v>
      </x:c>
      <x:c r="E1" s="27" t="str">
        <x:v>Task Type</x:v>
      </x:c>
      <x:c r="F1" s="27" t="str">
        <x:v>Care Task</x:v>
      </x:c>
      <x:c r="G1" s="27" t="str">
        <x:v>Suggested Frequency / Trigger</x:v>
      </x:c>
      <x:c r="H1" s="27" t="str">
        <x:v>Typical Owner</x:v>
      </x:c>
      <x:c r="I1" s="27" t="str">
        <x:v>Condition / Applies When</x:v>
      </x:c>
      <x:c r="J1" s="27" t="str">
        <x:v>Escalation / Reassessment Trigger</x:v>
      </x:c>
    </x:row>
    <x:row r="2" ht="38" customHeight="1">
      <x:c r="A2" s="22" t="str">
        <x:v>AS-01-0-C01</x:v>
      </x:c>
      <x:c r="B2" s="22" t="str">
        <x:v>AS-01</x:v>
      </x:c>
      <x:c r="C2" s="22" t="str">
        <x:v>ADLs / Personal Care</x:v>
      </x:c>
      <x:c r="D2" s="22" t="n">
        <x:v>0</x:v>
      </x:c>
      <x:c r="E2" s="22" t="str">
        <x:v>Core</x:v>
      </x:c>
      <x:c r="F2" s="22" t="str">
        <x:v>Allow resident to complete bathing, dressing, grooming, toileting and eating independently.</x:v>
      </x:c>
      <x:c r="G2" s="22" t="str">
        <x:v>Routine observation; assistance only on request</x:v>
      </x:c>
      <x:c r="H2" s="22" t="str">
        <x:v>Caregiver / care staff</x:v>
      </x:c>
      <x:c r="I2" s="22"/>
      <x:c r="J2" s="22" t="str">
        <x:v>New hands-on assistance, repeated missed hygiene, pain, fatigue or safety concern.</x:v>
      </x:c>
    </x:row>
    <x:row r="3" ht="38" customHeight="1">
      <x:c r="A3" s="22" t="str">
        <x:v>AS-01-0-C02</x:v>
      </x:c>
      <x:c r="B3" s="22" t="str">
        <x:v>AS-01</x:v>
      </x:c>
      <x:c r="C3" s="22" t="str">
        <x:v>ADLs / Personal Care</x:v>
      </x:c>
      <x:c r="D3" s="22" t="n">
        <x:v>0</x:v>
      </x:c>
      <x:c r="E3" s="22" t="str">
        <x:v>Core</x:v>
      </x:c>
      <x:c r="F3" s="22" t="str">
        <x:v>Set out preferred toiletries/clothing only if requested.</x:v>
      </x:c>
      <x:c r="G3" s="22" t="str">
        <x:v>Routine observation; assistance only on request</x:v>
      </x:c>
      <x:c r="H3" s="22" t="str">
        <x:v>Caregiver / care staff</x:v>
      </x:c>
      <x:c r="I3" s="22"/>
      <x:c r="J3" s="22" t="str">
        <x:v>New hands-on assistance, repeated missed hygiene, pain, fatigue or safety concern.</x:v>
      </x:c>
    </x:row>
    <x:row r="4" ht="38" customHeight="1">
      <x:c r="A4" s="22" t="str">
        <x:v>AS-01-0-C03</x:v>
      </x:c>
      <x:c r="B4" s="22" t="str">
        <x:v>AS-01</x:v>
      </x:c>
      <x:c r="C4" s="22" t="str">
        <x:v>ADLs / Personal Care</x:v>
      </x:c>
      <x:c r="D4" s="22" t="n">
        <x:v>0</x:v>
      </x:c>
      <x:c r="E4" s="22" t="str">
        <x:v>Core</x:v>
      </x:c>
      <x:c r="F4" s="22" t="str">
        <x:v>Respect usual timing, sequence, privacy and cultural preferences.</x:v>
      </x:c>
      <x:c r="G4" s="22" t="str">
        <x:v>Routine observation; assistance only on request</x:v>
      </x:c>
      <x:c r="H4" s="22" t="str">
        <x:v>Caregiver / care staff</x:v>
      </x:c>
      <x:c r="I4" s="22"/>
      <x:c r="J4" s="22" t="str">
        <x:v>New hands-on assistance, repeated missed hygiene, pain, fatigue or safety concern.</x:v>
      </x:c>
    </x:row>
    <x:row r="5" ht="38" customHeight="1">
      <x:c r="A5" s="22" t="str">
        <x:v>AS-01-0-C04</x:v>
      </x:c>
      <x:c r="B5" s="22" t="str">
        <x:v>AS-01</x:v>
      </x:c>
      <x:c r="C5" s="22" t="str">
        <x:v>ADLs / Personal Care</x:v>
      </x:c>
      <x:c r="D5" s="22" t="n">
        <x:v>0</x:v>
      </x:c>
      <x:c r="E5" s="22" t="str">
        <x:v>Core</x:v>
      </x:c>
      <x:c r="F5" s="22" t="str">
        <x:v>Observe for new difficulty, fatigue, pain or decline during self-care.</x:v>
      </x:c>
      <x:c r="G5" s="22" t="str">
        <x:v>Routine observation; assistance only on request</x:v>
      </x:c>
      <x:c r="H5" s="22" t="str">
        <x:v>Caregiver / care staff</x:v>
      </x:c>
      <x:c r="I5" s="22"/>
      <x:c r="J5" s="22" t="str">
        <x:v>New hands-on assistance, repeated missed hygiene, pain, fatigue or safety concern.</x:v>
      </x:c>
    </x:row>
    <x:row r="6" ht="38" customHeight="1">
      <x:c r="A6" s="22" t="str">
        <x:v>AS-01-0-X01</x:v>
      </x:c>
      <x:c r="B6" s="22" t="str">
        <x:v>AS-01</x:v>
      </x:c>
      <x:c r="C6" s="22" t="str">
        <x:v>ADLs / Personal Care</x:v>
      </x:c>
      <x:c r="D6" s="22" t="n">
        <x:v>0</x:v>
      </x:c>
      <x:c r="E6" s="22" t="str">
        <x:v>Condition-specific</x:v>
      </x:c>
      <x:c r="F6" s="22" t="str">
        <x:v>allow extra time and use easy-grip items if preferred.</x:v>
      </x:c>
      <x:c r="G6" s="22" t="str">
        <x:v>Routine observation; assistance only on request</x:v>
      </x:c>
      <x:c r="H6" s="22" t="str">
        <x:v>Caregiver / care staff</x:v>
      </x:c>
      <x:c r="I6" s="22" t="str">
        <x:v>Arthritis</x:v>
      </x:c>
      <x:c r="J6" s="22" t="str">
        <x:v>New hands-on assistance, repeated missed hygiene, pain, fatigue or safety concern.</x:v>
      </x:c>
    </x:row>
    <x:row r="7" ht="38" customHeight="1">
      <x:c r="A7" s="22" t="str">
        <x:v>AS-01-0-X02</x:v>
      </x:c>
      <x:c r="B7" s="22" t="str">
        <x:v>AS-01</x:v>
      </x:c>
      <x:c r="C7" s="22" t="str">
        <x:v>ADLs / Personal Care</x:v>
      </x:c>
      <x:c r="D7" s="22" t="n">
        <x:v>0</x:v>
      </x:c>
      <x:c r="E7" s="22" t="str">
        <x:v>Condition-specific</x:v>
      </x:c>
      <x:c r="F7" s="22" t="str">
        <x:v>keep familiar items in consistent locations.</x:v>
      </x:c>
      <x:c r="G7" s="22" t="str">
        <x:v>Routine observation; assistance only on request</x:v>
      </x:c>
      <x:c r="H7" s="22" t="str">
        <x:v>Caregiver / care staff</x:v>
      </x:c>
      <x:c r="I7" s="22" t="str">
        <x:v>Early dementia</x:v>
      </x:c>
      <x:c r="J7" s="22" t="str">
        <x:v>New hands-on assistance, repeated missed hygiene, pain, fatigue or safety concern.</x:v>
      </x:c>
    </x:row>
    <x:row r="8" ht="38" customHeight="1">
      <x:c r="A8" s="22" t="str">
        <x:v>AS-01-1-C01</x:v>
      </x:c>
      <x:c r="B8" s="22" t="str">
        <x:v>AS-01</x:v>
      </x:c>
      <x:c r="C8" s="22" t="str">
        <x:v>ADLs / Personal Care</x:v>
      </x:c>
      <x:c r="D8" s="22" t="n">
        <x:v>1</x:v>
      </x:c>
      <x:c r="E8" s="22" t="str">
        <x:v>Core</x:v>
      </x:c>
      <x:c r="F8" s="22" t="str">
        <x:v>Provide setup for selected ADLs (e.g., clothing, toiletries, meal tray).</x:v>
      </x:c>
      <x:c r="G8" s="22" t="str">
        <x:v>Per ADL episode; document exceptions</x:v>
      </x:c>
      <x:c r="H8" s="22" t="str">
        <x:v>Caregiver / care staff</x:v>
      </x:c>
      <x:c r="I8" s="22"/>
      <x:c r="J8" s="22" t="str">
        <x:v>Need for regular physical help, repeated incomplete ADLs or increased fatigue.</x:v>
      </x:c>
    </x:row>
    <x:row r="9" ht="38" customHeight="1">
      <x:c r="A9" s="22" t="str">
        <x:v>AS-01-1-C02</x:v>
      </x:c>
      <x:c r="B9" s="22" t="str">
        <x:v>AS-01</x:v>
      </x:c>
      <x:c r="C9" s="22" t="str">
        <x:v>ADLs / Personal Care</x:v>
      </x:c>
      <x:c r="D9" s="22" t="n">
        <x:v>1</x:v>
      </x:c>
      <x:c r="E9" s="22" t="str">
        <x:v>Core</x:v>
      </x:c>
      <x:c r="F9" s="22" t="str">
        <x:v>Give one-step reminders or verbal cueing only when needed.</x:v>
      </x:c>
      <x:c r="G9" s="22" t="str">
        <x:v>Per ADL episode; document exceptions</x:v>
      </x:c>
      <x:c r="H9" s="22" t="str">
        <x:v>Caregiver / care staff</x:v>
      </x:c>
      <x:c r="I9" s="22"/>
      <x:c r="J9" s="22" t="str">
        <x:v>Need for regular physical help, repeated incomplete ADLs or increased fatigue.</x:v>
      </x:c>
    </x:row>
    <x:row r="10" ht="38" customHeight="1">
      <x:c r="A10" s="22" t="str">
        <x:v>AS-01-1-C03</x:v>
      </x:c>
      <x:c r="B10" s="22" t="str">
        <x:v>AS-01</x:v>
      </x:c>
      <x:c r="C10" s="22" t="str">
        <x:v>ADLs / Personal Care</x:v>
      </x:c>
      <x:c r="D10" s="22" t="n">
        <x:v>1</x:v>
      </x:c>
      <x:c r="E10" s="22" t="str">
        <x:v>Core</x:v>
      </x:c>
      <x:c r="F10" s="22" t="str">
        <x:v>Encourage resident to complete remaining steps independently.</x:v>
      </x:c>
      <x:c r="G10" s="22" t="str">
        <x:v>Per ADL episode; document exceptions</x:v>
      </x:c>
      <x:c r="H10" s="22" t="str">
        <x:v>Caregiver / care staff</x:v>
      </x:c>
      <x:c r="I10" s="22"/>
      <x:c r="J10" s="22" t="str">
        <x:v>Need for regular physical help, repeated incomplete ADLs or increased fatigue.</x:v>
      </x:c>
    </x:row>
    <x:row r="11" ht="38" customHeight="1">
      <x:c r="A11" s="22" t="str">
        <x:v>AS-01-1-C04</x:v>
      </x:c>
      <x:c r="B11" s="22" t="str">
        <x:v>AS-01</x:v>
      </x:c>
      <x:c r="C11" s="22" t="str">
        <x:v>ADLs / Personal Care</x:v>
      </x:c>
      <x:c r="D11" s="22" t="n">
        <x:v>1</x:v>
      </x:c>
      <x:c r="E11" s="22" t="str">
        <x:v>Core</x:v>
      </x:c>
      <x:c r="F11" s="22" t="str">
        <x:v>Document which ADLs needed cueing/setup and any change from baseline.</x:v>
      </x:c>
      <x:c r="G11" s="22" t="str">
        <x:v>Per ADL episode; document exceptions</x:v>
      </x:c>
      <x:c r="H11" s="22" t="str">
        <x:v>Caregiver / care staff</x:v>
      </x:c>
      <x:c r="I11" s="22"/>
      <x:c r="J11" s="22" t="str">
        <x:v>Need for regular physical help, repeated incomplete ADLs or increased fatigue.</x:v>
      </x:c>
    </x:row>
    <x:row r="12" ht="38" customHeight="1">
      <x:c r="A12" s="22" t="str">
        <x:v>AS-01-1-X01</x:v>
      </x:c>
      <x:c r="B12" s="22" t="str">
        <x:v>AS-01</x:v>
      </x:c>
      <x:c r="C12" s="22" t="str">
        <x:v>ADLs / Personal Care</x:v>
      </x:c>
      <x:c r="D12" s="22" t="n">
        <x:v>1</x:v>
      </x:c>
      <x:c r="E12" s="22" t="str">
        <x:v>Condition-specific</x:v>
      </x:c>
      <x:c r="F12" s="22" t="str">
        <x:v>schedule self-care when energy is best.</x:v>
      </x:c>
      <x:c r="G12" s="22" t="str">
        <x:v>Per ADL episode; document exceptions</x:v>
      </x:c>
      <x:c r="H12" s="22" t="str">
        <x:v>Caregiver / care staff</x:v>
      </x:c>
      <x:c r="I12" s="22" t="str">
        <x:v>Post-hospital weakness</x:v>
      </x:c>
      <x:c r="J12" s="22" t="str">
        <x:v>Need for regular physical help, repeated incomplete ADLs or increased fatigue.</x:v>
      </x:c>
    </x:row>
    <x:row r="13" ht="38" customHeight="1">
      <x:c r="A13" s="22" t="str">
        <x:v>AS-01-1-X02</x:v>
      </x:c>
      <x:c r="B13" s="22" t="str">
        <x:v>AS-01</x:v>
      </x:c>
      <x:c r="C13" s="22" t="str">
        <x:v>ADLs / Personal Care</x:v>
      </x:c>
      <x:c r="D13" s="22" t="n">
        <x:v>1</x:v>
      </x:c>
      <x:c r="E13" s="22" t="str">
        <x:v>Condition-specific</x:v>
      </x:c>
      <x:c r="F13" s="22" t="str">
        <x:v>organize items in predictable positions.</x:v>
      </x:c>
      <x:c r="G13" s="22" t="str">
        <x:v>Per ADL episode; document exceptions</x:v>
      </x:c>
      <x:c r="H13" s="22" t="str">
        <x:v>Caregiver / care staff</x:v>
      </x:c>
      <x:c r="I13" s="22" t="str">
        <x:v>Visual impairment</x:v>
      </x:c>
      <x:c r="J13" s="22" t="str">
        <x:v>Need for regular physical help, repeated incomplete ADLs or increased fatigue.</x:v>
      </x:c>
    </x:row>
    <x:row r="14" ht="38" customHeight="1">
      <x:c r="A14" s="22" t="str">
        <x:v>AS-01-2-C01</x:v>
      </x:c>
      <x:c r="B14" s="22" t="str">
        <x:v>AS-01</x:v>
      </x:c>
      <x:c r="C14" s="22" t="str">
        <x:v>ADLs / Personal Care</x:v>
      </x:c>
      <x:c r="D14" s="22" t="n">
        <x:v>2</x:v>
      </x:c>
      <x:c r="E14" s="22" t="str">
        <x:v>Core</x:v>
      </x:c>
      <x:c r="F14" s="22" t="str">
        <x:v>Provide hands-on help for identified ADLs while allowing resident to perform safe steps.</x:v>
      </x:c>
      <x:c r="G14" s="22" t="str">
        <x:v>Regularly during identified ADLs</x:v>
      </x:c>
      <x:c r="H14" s="22" t="str">
        <x:v>Caregiver / care staff</x:v>
      </x:c>
      <x:c r="I14" s="22"/>
      <x:c r="J14" s="22" t="str">
        <x:v>Assistance expands to multiple ADLs, two-person help becomes necessary, or resident cannot participate safely.</x:v>
      </x:c>
    </x:row>
    <x:row r="15" ht="38" customHeight="1">
      <x:c r="A15" s="22" t="str">
        <x:v>AS-01-2-C02</x:v>
      </x:c>
      <x:c r="B15" s="22" t="str">
        <x:v>AS-01</x:v>
      </x:c>
      <x:c r="C15" s="22" t="str">
        <x:v>ADLs / Personal Care</x:v>
      </x:c>
      <x:c r="D15" s="22" t="n">
        <x:v>2</x:v>
      </x:c>
      <x:c r="E15" s="22" t="str">
        <x:v>Core</x:v>
      </x:c>
      <x:c r="F15" s="22" t="str">
        <x:v>Use agreed transfer/body mechanics during bathing, dressing and toileting.</x:v>
      </x:c>
      <x:c r="G15" s="22" t="str">
        <x:v>Regularly during identified ADLs</x:v>
      </x:c>
      <x:c r="H15" s="22" t="str">
        <x:v>Caregiver / care staff</x:v>
      </x:c>
      <x:c r="I15" s="22"/>
      <x:c r="J15" s="22" t="str">
        <x:v>Assistance expands to multiple ADLs, two-person help becomes necessary, or resident cannot participate safely.</x:v>
      </x:c>
    </x:row>
    <x:row r="16" ht="38" customHeight="1">
      <x:c r="A16" s="22" t="str">
        <x:v>AS-01-2-C03</x:v>
      </x:c>
      <x:c r="B16" s="22" t="str">
        <x:v>AS-01</x:v>
      </x:c>
      <x:c r="C16" s="22" t="str">
        <x:v>ADLs / Personal Care</x:v>
      </x:c>
      <x:c r="D16" s="22" t="n">
        <x:v>2</x:v>
      </x:c>
      <x:c r="E16" s="22" t="str">
        <x:v>Core</x:v>
      </x:c>
      <x:c r="F16" s="22" t="str">
        <x:v>Offer simple choices for clothing, grooming and timing.</x:v>
      </x:c>
      <x:c r="G16" s="22" t="str">
        <x:v>Regularly during identified ADLs</x:v>
      </x:c>
      <x:c r="H16" s="22" t="str">
        <x:v>Caregiver / care staff</x:v>
      </x:c>
      <x:c r="I16" s="22"/>
      <x:c r="J16" s="22" t="str">
        <x:v>Assistance expands to multiple ADLs, two-person help becomes necessary, or resident cannot participate safely.</x:v>
      </x:c>
    </x:row>
    <x:row r="17" ht="38" customHeight="1">
      <x:c r="A17" s="22" t="str">
        <x:v>AS-01-2-C04</x:v>
      </x:c>
      <x:c r="B17" s="22" t="str">
        <x:v>AS-01</x:v>
      </x:c>
      <x:c r="C17" s="22" t="str">
        <x:v>ADLs / Personal Care</x:v>
      </x:c>
      <x:c r="D17" s="22" t="n">
        <x:v>2</x:v>
      </x:c>
      <x:c r="E17" s="22" t="str">
        <x:v>Core</x:v>
      </x:c>
      <x:c r="F17" s="22" t="str">
        <x:v>Check skin and comfort during personal care and report concerns.</x:v>
      </x:c>
      <x:c r="G17" s="22" t="str">
        <x:v>Regularly during identified ADLs</x:v>
      </x:c>
      <x:c r="H17" s="22" t="str">
        <x:v>Caregiver / care staff</x:v>
      </x:c>
      <x:c r="I17" s="22"/>
      <x:c r="J17" s="22" t="str">
        <x:v>Assistance expands to multiple ADLs, two-person help becomes necessary, or resident cannot participate safely.</x:v>
      </x:c>
    </x:row>
    <x:row r="18" ht="38" customHeight="1">
      <x:c r="A18" s="22" t="str">
        <x:v>AS-01-2-X01</x:v>
      </x:c>
      <x:c r="B18" s="22" t="str">
        <x:v>AS-01</x:v>
      </x:c>
      <x:c r="C18" s="22" t="str">
        <x:v>ADLs / Personal Care</x:v>
      </x:c>
      <x:c r="D18" s="22" t="n">
        <x:v>2</x:v>
      </x:c>
      <x:c r="E18" s="22" t="str">
        <x:v>Condition-specific</x:v>
      </x:c>
      <x:c r="F18" s="22" t="str">
        <x:v>use calm one-step cueing and familiar sequence.</x:v>
      </x:c>
      <x:c r="G18" s="22" t="str">
        <x:v>Regularly during identified ADLs</x:v>
      </x:c>
      <x:c r="H18" s="22" t="str">
        <x:v>Caregiver / care staff</x:v>
      </x:c>
      <x:c r="I18" s="22" t="str">
        <x:v>Dementia</x:v>
      </x:c>
      <x:c r="J18" s="22" t="str">
        <x:v>Assistance expands to multiple ADLs, two-person help becomes necessary, or resident cannot participate safely.</x:v>
      </x:c>
    </x:row>
    <x:row r="19" ht="38" customHeight="1">
      <x:c r="A19" s="22" t="str">
        <x:v>AS-01-2-X02</x:v>
      </x:c>
      <x:c r="B19" s="22" t="str">
        <x:v>AS-01</x:v>
      </x:c>
      <x:c r="C19" s="22" t="str">
        <x:v>ADLs / Personal Care</x:v>
      </x:c>
      <x:c r="D19" s="22" t="n">
        <x:v>2</x:v>
      </x:c>
      <x:c r="E19" s="22" t="str">
        <x:v>Condition-specific</x:v>
      </x:c>
      <x:c r="F19" s="22" t="str">
        <x:v>assist affected side and use adaptive equipment if prescribed.</x:v>
      </x:c>
      <x:c r="G19" s="22" t="str">
        <x:v>Regularly during identified ADLs</x:v>
      </x:c>
      <x:c r="H19" s="22" t="str">
        <x:v>Caregiver / care staff</x:v>
      </x:c>
      <x:c r="I19" s="22" t="str">
        <x:v>Arthritis/stroke weakness</x:v>
      </x:c>
      <x:c r="J19" s="22" t="str">
        <x:v>Assistance expands to multiple ADLs, two-person help becomes necessary, or resident cannot participate safely.</x:v>
      </x:c>
    </x:row>
    <x:row r="20" ht="38" customHeight="1">
      <x:c r="A20" s="22" t="str">
        <x:v>AS-01-3-C01</x:v>
      </x:c>
      <x:c r="B20" s="22" t="str">
        <x:v>AS-01</x:v>
      </x:c>
      <x:c r="C20" s="22" t="str">
        <x:v>ADLs / Personal Care</x:v>
      </x:c>
      <x:c r="D20" s="22" t="n">
        <x:v>3</x:v>
      </x:c>
      <x:c r="E20" s="22" t="str">
        <x:v>Core</x:v>
      </x:c>
      <x:c r="F20" s="22" t="str">
        <x:v>Provide extensive hands-on assistance across multiple ADLs using a consistent sequence.</x:v>
      </x:c>
      <x:c r="G20" s="22" t="str">
        <x:v>Each personal-care episode; structured routine</x:v>
      </x:c>
      <x:c r="H20" s="22" t="str">
        <x:v>Caregiver / care staff</x:v>
      </x:c>
      <x:c r="I20" s="22"/>
      <x:c r="J20" s="22" t="str">
        <x:v>Near-total dependence, distress with care, new swallowing/feeding dependence or care exceeds staffing plan.</x:v>
      </x:c>
    </x:row>
    <x:row r="21" ht="38" customHeight="1">
      <x:c r="A21" s="22" t="str">
        <x:v>AS-01-3-C02</x:v>
      </x:c>
      <x:c r="B21" s="22" t="str">
        <x:v>AS-01</x:v>
      </x:c>
      <x:c r="C21" s="22" t="str">
        <x:v>ADLs / Personal Care</x:v>
      </x:c>
      <x:c r="D21" s="22" t="n">
        <x:v>3</x:v>
      </x:c>
      <x:c r="E21" s="22" t="str">
        <x:v>Core</x:v>
      </x:c>
      <x:c r="F21" s="22" t="str">
        <x:v>Prepare all supplies before care and cluster tasks to reduce fatigue.</x:v>
      </x:c>
      <x:c r="G21" s="22" t="str">
        <x:v>Each personal-care episode; structured routine</x:v>
      </x:c>
      <x:c r="H21" s="22" t="str">
        <x:v>Caregiver / care staff</x:v>
      </x:c>
      <x:c r="I21" s="22"/>
      <x:c r="J21" s="22" t="str">
        <x:v>Near-total dependence, distress with care, new swallowing/feeding dependence or care exceeds staffing plan.</x:v>
      </x:c>
    </x:row>
    <x:row r="22" ht="38" customHeight="1">
      <x:c r="A22" s="22" t="str">
        <x:v>AS-01-3-C03</x:v>
      </x:c>
      <x:c r="B22" s="22" t="str">
        <x:v>AS-01</x:v>
      </x:c>
      <x:c r="C22" s="22" t="str">
        <x:v>ADLs / Personal Care</x:v>
      </x:c>
      <x:c r="D22" s="22" t="n">
        <x:v>3</x:v>
      </x:c>
      <x:c r="E22" s="22" t="str">
        <x:v>Core</x:v>
      </x:c>
      <x:c r="F22" s="22" t="str">
        <x:v>Encourage participation in any safe step (face washing, arm through sleeve, self-feeding portions).</x:v>
      </x:c>
      <x:c r="G22" s="22" t="str">
        <x:v>Each personal-care episode; structured routine</x:v>
      </x:c>
      <x:c r="H22" s="22" t="str">
        <x:v>Caregiver / care staff</x:v>
      </x:c>
      <x:c r="I22" s="22"/>
      <x:c r="J22" s="22" t="str">
        <x:v>Near-total dependence, distress with care, new swallowing/feeding dependence or care exceeds staffing plan.</x:v>
      </x:c>
    </x:row>
    <x:row r="23" ht="38" customHeight="1">
      <x:c r="A23" s="22" t="str">
        <x:v>AS-01-3-C04</x:v>
      </x:c>
      <x:c r="B23" s="22" t="str">
        <x:v>AS-01</x:v>
      </x:c>
      <x:c r="C23" s="22" t="str">
        <x:v>ADLs / Personal Care</x:v>
      </x:c>
      <x:c r="D23" s="22" t="n">
        <x:v>3</x:v>
      </x:c>
      <x:c r="E23" s="22" t="str">
        <x:v>Core</x:v>
      </x:c>
      <x:c r="F23" s="22" t="str">
        <x:v>Complete post-care comfort, hygiene and skin checks.</x:v>
      </x:c>
      <x:c r="G23" s="22" t="str">
        <x:v>Each personal-care episode; structured routine</x:v>
      </x:c>
      <x:c r="H23" s="22" t="str">
        <x:v>Caregiver / care staff</x:v>
      </x:c>
      <x:c r="I23" s="22"/>
      <x:c r="J23" s="22" t="str">
        <x:v>Near-total dependence, distress with care, new swallowing/feeding dependence or care exceeds staffing plan.</x:v>
      </x:c>
    </x:row>
    <x:row r="24" ht="38" customHeight="1">
      <x:c r="A24" s="22" t="str">
        <x:v>AS-01-3-X01</x:v>
      </x:c>
      <x:c r="B24" s="22" t="str">
        <x:v>AS-01</x:v>
      </x:c>
      <x:c r="C24" s="22" t="str">
        <x:v>ADLs / Personal Care</x:v>
      </x:c>
      <x:c r="D24" s="22" t="n">
        <x:v>3</x:v>
      </x:c>
      <x:c r="E24" s="22" t="str">
        <x:v>Condition-specific</x:v>
      </x:c>
      <x:c r="F24" s="22" t="str">
        <x:v>approach from front, explain each step, avoid rushing.</x:v>
      </x:c>
      <x:c r="G24" s="22" t="str">
        <x:v>Each personal-care episode; structured routine</x:v>
      </x:c>
      <x:c r="H24" s="22" t="str">
        <x:v>Caregiver / care staff</x:v>
      </x:c>
      <x:c r="I24" s="22" t="str">
        <x:v>Advanced dementia</x:v>
      </x:c>
      <x:c r="J24" s="22" t="str">
        <x:v>Near-total dependence, distress with care, new swallowing/feeding dependence or care exceeds staffing plan.</x:v>
      </x:c>
    </x:row>
    <x:row r="25" ht="38" customHeight="1">
      <x:c r="A25" s="22" t="str">
        <x:v>AS-01-3-X02</x:v>
      </x:c>
      <x:c r="B25" s="22" t="str">
        <x:v>AS-01</x:v>
      </x:c>
      <x:c r="C25" s="22" t="str">
        <x:v>ADLs / Personal Care</x:v>
      </x:c>
      <x:c r="D25" s="22" t="n">
        <x:v>3</x:v>
      </x:c>
      <x:c r="E25" s="22" t="str">
        <x:v>Condition-specific</x:v>
      </x:c>
      <x:c r="F25" s="22" t="str">
        <x:v>follow therapy-approved dressing/transfer technique.</x:v>
      </x:c>
      <x:c r="G25" s="22" t="str">
        <x:v>Each personal-care episode; structured routine</x:v>
      </x:c>
      <x:c r="H25" s="22" t="str">
        <x:v>Caregiver / care staff</x:v>
      </x:c>
      <x:c r="I25" s="22" t="str">
        <x:v>Hemiparesis</x:v>
      </x:c>
      <x:c r="J25" s="22" t="str">
        <x:v>Near-total dependence, distress with care, new swallowing/feeding dependence or care exceeds staffing plan.</x:v>
      </x:c>
    </x:row>
    <x:row r="26" ht="38" customHeight="1">
      <x:c r="A26" s="22" t="str">
        <x:v>AS-01-4-C01</x:v>
      </x:c>
      <x:c r="B26" s="22" t="str">
        <x:v>AS-01</x:v>
      </x:c>
      <x:c r="C26" s="22" t="str">
        <x:v>ADLs / Personal Care</x:v>
      </x:c>
      <x:c r="D26" s="22" t="n">
        <x:v>4</x:v>
      </x:c>
      <x:c r="E26" s="22" t="str">
        <x:v>Core</x:v>
      </x:c>
      <x:c r="F26" s="22" t="str">
        <x:v>Provide near-total/total assistance for personal care while protecting privacy and dignity.</x:v>
      </x:c>
      <x:c r="G26" s="22" t="str">
        <x:v>Every ADL episode; high-frequency care</x:v>
      </x:c>
      <x:c r="H26" s="22" t="str">
        <x:v>Caregiver / care staff</x:v>
      </x:c>
      <x:c r="I26" s="22"/>
      <x:c r="J26" s="22" t="str">
        <x:v>Pain, skin breakdown, recurrent care refusal, unsafe transfer needs or needs beyond service capability.</x:v>
      </x:c>
    </x:row>
    <x:row r="27" ht="38" customHeight="1">
      <x:c r="A27" s="22" t="str">
        <x:v>AS-01-4-C02</x:v>
      </x:c>
      <x:c r="B27" s="22" t="str">
        <x:v>AS-01</x:v>
      </x:c>
      <x:c r="C27" s="22" t="str">
        <x:v>ADLs / Personal Care</x:v>
      </x:c>
      <x:c r="D27" s="22" t="n">
        <x:v>4</x:v>
      </x:c>
      <x:c r="E27" s="22" t="str">
        <x:v>Core</x:v>
      </x:c>
      <x:c r="F27" s="22" t="str">
        <x:v>Use two-person/mechanical assistance when required by the care plan and trained staff.</x:v>
      </x:c>
      <x:c r="G27" s="22" t="str">
        <x:v>Every ADL episode; high-frequency care</x:v>
      </x:c>
      <x:c r="H27" s="22" t="str">
        <x:v>Caregiver / care staff</x:v>
      </x:c>
      <x:c r="I27" s="22"/>
      <x:c r="J27" s="22" t="str">
        <x:v>Pain, skin breakdown, recurrent care refusal, unsafe transfer needs or needs beyond service capability.</x:v>
      </x:c>
    </x:row>
    <x:row r="28" ht="38" customHeight="1">
      <x:c r="A28" s="22" t="str">
        <x:v>AS-01-4-C03</x:v>
      </x:c>
      <x:c r="B28" s="22" t="str">
        <x:v>AS-01</x:v>
      </x:c>
      <x:c r="C28" s="22" t="str">
        <x:v>ADLs / Personal Care</x:v>
      </x:c>
      <x:c r="D28" s="22" t="n">
        <x:v>4</x:v>
      </x:c>
      <x:c r="E28" s="22" t="str">
        <x:v>Core</x:v>
      </x:c>
      <x:c r="F28" s="22" t="str">
        <x:v>Reposition and provide comfort measures during/after care.</x:v>
      </x:c>
      <x:c r="G28" s="22" t="str">
        <x:v>Every ADL episode; high-frequency care</x:v>
      </x:c>
      <x:c r="H28" s="22" t="str">
        <x:v>Caregiver / care staff</x:v>
      </x:c>
      <x:c r="I28" s="22"/>
      <x:c r="J28" s="22" t="str">
        <x:v>Pain, skin breakdown, recurrent care refusal, unsafe transfer needs or needs beyond service capability.</x:v>
      </x:c>
    </x:row>
    <x:row r="29" ht="38" customHeight="1">
      <x:c r="A29" s="22" t="str">
        <x:v>AS-01-4-C04</x:v>
      </x:c>
      <x:c r="B29" s="22" t="str">
        <x:v>AS-01</x:v>
      </x:c>
      <x:c r="C29" s="22" t="str">
        <x:v>ADLs / Personal Care</x:v>
      </x:c>
      <x:c r="D29" s="22" t="n">
        <x:v>4</x:v>
      </x:c>
      <x:c r="E29" s="22" t="str">
        <x:v>Core</x:v>
      </x:c>
      <x:c r="F29" s="22" t="str">
        <x:v>Offer meaningful choices and observe non-verbal signs of pain or distress.</x:v>
      </x:c>
      <x:c r="G29" s="22" t="str">
        <x:v>Every ADL episode; high-frequency care</x:v>
      </x:c>
      <x:c r="H29" s="22" t="str">
        <x:v>Caregiver / care staff</x:v>
      </x:c>
      <x:c r="I29" s="22"/>
      <x:c r="J29" s="22" t="str">
        <x:v>Pain, skin breakdown, recurrent care refusal, unsafe transfer needs or needs beyond service capability.</x:v>
      </x:c>
    </x:row>
    <x:row r="30" ht="38" customHeight="1">
      <x:c r="A30" s="22" t="str">
        <x:v>AS-01-4-X01</x:v>
      </x:c>
      <x:c r="B30" s="22" t="str">
        <x:v>AS-01</x:v>
      </x:c>
      <x:c r="C30" s="22" t="str">
        <x:v>ADLs / Personal Care</x:v>
      </x:c>
      <x:c r="D30" s="22" t="n">
        <x:v>4</x:v>
      </x:c>
      <x:c r="E30" s="22" t="str">
        <x:v>Condition-specific</x:v>
      </x:c>
      <x:c r="F30" s="22" t="str">
        <x:v>use consistent caregivers/approach where possible.</x:v>
      </x:c>
      <x:c r="G30" s="22" t="str">
        <x:v>Every ADL episode; high-frequency care</x:v>
      </x:c>
      <x:c r="H30" s="22" t="str">
        <x:v>Caregiver / care staff</x:v>
      </x:c>
      <x:c r="I30" s="22" t="str">
        <x:v>Severe dementia</x:v>
      </x:c>
      <x:c r="J30" s="22" t="str">
        <x:v>Pain, skin breakdown, recurrent care refusal, unsafe transfer needs or needs beyond service capability.</x:v>
      </x:c>
    </x:row>
    <x:row r="31" ht="38" customHeight="1">
      <x:c r="A31" s="22" t="str">
        <x:v>AS-01-4-X02</x:v>
      </x:c>
      <x:c r="B31" s="22" t="str">
        <x:v>AS-01</x:v>
      </x:c>
      <x:c r="C31" s="22" t="str">
        <x:v>ADLs / Personal Care</x:v>
      </x:c>
      <x:c r="D31" s="22" t="n">
        <x:v>4</x:v>
      </x:c>
      <x:c r="E31" s="22" t="str">
        <x:v>Condition-specific</x:v>
      </x:c>
      <x:c r="F31" s="22" t="str">
        <x:v>use gentle range/positioning per therapy plan; avoid force.</x:v>
      </x:c>
      <x:c r="G31" s="22" t="str">
        <x:v>Every ADL episode; high-frequency care</x:v>
      </x:c>
      <x:c r="H31" s="22" t="str">
        <x:v>Caregiver / care staff</x:v>
      </x:c>
      <x:c r="I31" s="22" t="str">
        <x:v>Contracture/frailty</x:v>
      </x:c>
      <x:c r="J31" s="22" t="str">
        <x:v>Pain, skin breakdown, recurrent care refusal, unsafe transfer needs or needs beyond service capability.</x:v>
      </x:c>
    </x:row>
    <x:row r="32" ht="38" customHeight="1">
      <x:c r="A32" s="22" t="str">
        <x:v>AS-02-0-C01</x:v>
      </x:c>
      <x:c r="B32" s="22" t="str">
        <x:v>AS-02</x:v>
      </x:c>
      <x:c r="C32" s="22" t="str">
        <x:v>Mobility / Transfers</x:v>
      </x:c>
      <x:c r="D32" s="22" t="n">
        <x:v>0</x:v>
      </x:c>
      <x:c r="E32" s="22" t="str">
        <x:v>Core</x:v>
      </x:c>
      <x:c r="F32" s="22" t="str">
        <x:v>Encourage independent walking and transfers at usual pace.</x:v>
      </x:c>
      <x:c r="G32" s="22" t="str">
        <x:v>Routine observation</x:v>
      </x:c>
      <x:c r="H32" s="22" t="str">
        <x:v>Caregiver / care staff; nurse oversight as needed</x:v>
      </x:c>
      <x:c r="I32" s="22"/>
      <x:c r="J32" s="22" t="str">
        <x:v>New unsteadiness, fall/near-fall, dizziness or need for physical assistance.</x:v>
      </x:c>
    </x:row>
    <x:row r="33" ht="38" customHeight="1">
      <x:c r="A33" s="22" t="str">
        <x:v>AS-02-0-C02</x:v>
      </x:c>
      <x:c r="B33" s="22" t="str">
        <x:v>AS-02</x:v>
      </x:c>
      <x:c r="C33" s="22" t="str">
        <x:v>Mobility / Transfers</x:v>
      </x:c>
      <x:c r="D33" s="22" t="n">
        <x:v>0</x:v>
      </x:c>
      <x:c r="E33" s="22" t="str">
        <x:v>Core</x:v>
      </x:c>
      <x:c r="F33" s="22" t="str">
        <x:v>Keep usual mobility route uncluttered and footwear accessible.</x:v>
      </x:c>
      <x:c r="G33" s="22" t="str">
        <x:v>Routine observation</x:v>
      </x:c>
      <x:c r="H33" s="22" t="str">
        <x:v>Caregiver / care staff; nurse oversight as needed</x:v>
      </x:c>
      <x:c r="I33" s="22"/>
      <x:c r="J33" s="22" t="str">
        <x:v>New unsteadiness, fall/near-fall, dizziness or need for physical assistance.</x:v>
      </x:c>
    </x:row>
    <x:row r="34" ht="38" customHeight="1">
      <x:c r="A34" s="22" t="str">
        <x:v>AS-02-0-C03</x:v>
      </x:c>
      <x:c r="B34" s="22" t="str">
        <x:v>AS-02</x:v>
      </x:c>
      <x:c r="C34" s="22" t="str">
        <x:v>Mobility / Transfers</x:v>
      </x:c>
      <x:c r="D34" s="22" t="n">
        <x:v>0</x:v>
      </x:c>
      <x:c r="E34" s="22" t="str">
        <x:v>Core</x:v>
      </x:c>
      <x:c r="F34" s="22" t="str">
        <x:v>Ensure commonly used items are within safe reach.</x:v>
      </x:c>
      <x:c r="G34" s="22" t="str">
        <x:v>Routine observation</x:v>
      </x:c>
      <x:c r="H34" s="22" t="str">
        <x:v>Caregiver / care staff; nurse oversight as needed</x:v>
      </x:c>
      <x:c r="I34" s="22"/>
      <x:c r="J34" s="22" t="str">
        <x:v>New unsteadiness, fall/near-fall, dizziness or need for physical assistance.</x:v>
      </x:c>
    </x:row>
    <x:row r="35" ht="38" customHeight="1">
      <x:c r="A35" s="22" t="str">
        <x:v>AS-02-0-C04</x:v>
      </x:c>
      <x:c r="B35" s="22" t="str">
        <x:v>AS-02</x:v>
      </x:c>
      <x:c r="C35" s="22" t="str">
        <x:v>Mobility / Transfers</x:v>
      </x:c>
      <x:c r="D35" s="22" t="n">
        <x:v>0</x:v>
      </x:c>
      <x:c r="E35" s="22" t="str">
        <x:v>Core</x:v>
      </x:c>
      <x:c r="F35" s="22" t="str">
        <x:v>Observe for new gait, endurance or transfer changes.</x:v>
      </x:c>
      <x:c r="G35" s="22" t="str">
        <x:v>Routine observation</x:v>
      </x:c>
      <x:c r="H35" s="22" t="str">
        <x:v>Caregiver / care staff; nurse oversight as needed</x:v>
      </x:c>
      <x:c r="I35" s="22"/>
      <x:c r="J35" s="22" t="str">
        <x:v>New unsteadiness, fall/near-fall, dizziness or need for physical assistance.</x:v>
      </x:c>
    </x:row>
    <x:row r="36" ht="38" customHeight="1">
      <x:c r="A36" s="22" t="str">
        <x:v>AS-02-0-X01</x:v>
      </x:c>
      <x:c r="B36" s="22" t="str">
        <x:v>AS-02</x:v>
      </x:c>
      <x:c r="C36" s="22" t="str">
        <x:v>Mobility / Transfers</x:v>
      </x:c>
      <x:c r="D36" s="22" t="n">
        <x:v>0</x:v>
      </x:c>
      <x:c r="E36" s="22" t="str">
        <x:v>Condition-specific</x:v>
      </x:c>
      <x:c r="F36" s="22" t="str">
        <x:v>allow slower pace and rest as needed.</x:v>
      </x:c>
      <x:c r="G36" s="22" t="str">
        <x:v>Routine observation</x:v>
      </x:c>
      <x:c r="H36" s="22" t="str">
        <x:v>Caregiver / care staff; nurse oversight as needed</x:v>
      </x:c>
      <x:c r="I36" s="22" t="str">
        <x:v>Osteoarthritis</x:v>
      </x:c>
      <x:c r="J36" s="22" t="str">
        <x:v>New unsteadiness, fall/near-fall, dizziness or need for physical assistance.</x:v>
      </x:c>
    </x:row>
    <x:row r="37" ht="38" customHeight="1">
      <x:c r="A37" s="22" t="str">
        <x:v>AS-02-0-X02</x:v>
      </x:c>
      <x:c r="B37" s="22" t="str">
        <x:v>AS-02</x:v>
      </x:c>
      <x:c r="C37" s="22" t="str">
        <x:v>Mobility / Transfers</x:v>
      </x:c>
      <x:c r="D37" s="22" t="n">
        <x:v>0</x:v>
      </x:c>
      <x:c r="E37" s="22" t="str">
        <x:v>Condition-specific</x:v>
      </x:c>
      <x:c r="F37" s="22" t="str">
        <x:v>ensure device is available and in good condition.</x:v>
      </x:c>
      <x:c r="G37" s="22" t="str">
        <x:v>Routine observation</x:v>
      </x:c>
      <x:c r="H37" s="22" t="str">
        <x:v>Caregiver / care staff; nurse oversight as needed</x:v>
      </x:c>
      <x:c r="I37" s="22" t="str">
        <x:v>Stable walker user</x:v>
      </x:c>
      <x:c r="J37" s="22" t="str">
        <x:v>New unsteadiness, fall/near-fall, dizziness or need for physical assistance.</x:v>
      </x:c>
    </x:row>
    <x:row r="38" ht="38" customHeight="1">
      <x:c r="A38" s="22" t="str">
        <x:v>AS-02-1-C01</x:v>
      </x:c>
      <x:c r="B38" s="22" t="str">
        <x:v>AS-02</x:v>
      </x:c>
      <x:c r="C38" s="22" t="str">
        <x:v>Mobility / Transfers</x:v>
      </x:c>
      <x:c r="D38" s="22" t="n">
        <x:v>1</x:v>
      </x:c>
      <x:c r="E38" s="22" t="str">
        <x:v>Core</x:v>
      </x:c>
      <x:c r="F38" s="22" t="str">
        <x:v>Set up prescribed mobility device before ambulation.</x:v>
      </x:c>
      <x:c r="G38" s="22" t="str">
        <x:v>Intermittent / identified activities</x:v>
      </x:c>
      <x:c r="H38" s="22" t="str">
        <x:v>Caregiver / care staff; nurse oversight as needed</x:v>
      </x:c>
      <x:c r="I38" s="22"/>
      <x:c r="J38" s="22" t="str">
        <x:v>Recurring contact guard, transfer difficulty, near-falls or reduced endurance.</x:v>
      </x:c>
    </x:row>
    <x:row r="39" ht="38" customHeight="1">
      <x:c r="A39" s="22" t="str">
        <x:v>AS-02-1-C02</x:v>
      </x:c>
      <x:c r="B39" s="22" t="str">
        <x:v>AS-02</x:v>
      </x:c>
      <x:c r="C39" s="22" t="str">
        <x:v>Mobility / Transfers</x:v>
      </x:c>
      <x:c r="D39" s="22" t="n">
        <x:v>1</x:v>
      </x:c>
      <x:c r="E39" s="22" t="str">
        <x:v>Core</x:v>
      </x:c>
      <x:c r="F39" s="22" t="str">
        <x:v>Provide standby assistance for transfers or longer walks as identified.</x:v>
      </x:c>
      <x:c r="G39" s="22" t="str">
        <x:v>Intermittent / identified activities</x:v>
      </x:c>
      <x:c r="H39" s="22" t="str">
        <x:v>Caregiver / care staff; nurse oversight as needed</x:v>
      </x:c>
      <x:c r="I39" s="22"/>
      <x:c r="J39" s="22" t="str">
        <x:v>Recurring contact guard, transfer difficulty, near-falls or reduced endurance.</x:v>
      </x:c>
    </x:row>
    <x:row r="40" ht="38" customHeight="1">
      <x:c r="A40" s="22" t="str">
        <x:v>AS-02-1-C03</x:v>
      </x:c>
      <x:c r="B40" s="22" t="str">
        <x:v>AS-02</x:v>
      </x:c>
      <x:c r="C40" s="22" t="str">
        <x:v>Mobility / Transfers</x:v>
      </x:c>
      <x:c r="D40" s="22" t="n">
        <x:v>1</x:v>
      </x:c>
      <x:c r="E40" s="22" t="str">
        <x:v>Core</x:v>
      </x:c>
      <x:c r="F40" s="22" t="str">
        <x:v>Remind resident to use device/handrails and appropriate footwear.</x:v>
      </x:c>
      <x:c r="G40" s="22" t="str">
        <x:v>Intermittent / identified activities</x:v>
      </x:c>
      <x:c r="H40" s="22" t="str">
        <x:v>Caregiver / care staff; nurse oversight as needed</x:v>
      </x:c>
      <x:c r="I40" s="22"/>
      <x:c r="J40" s="22" t="str">
        <x:v>Recurring contact guard, transfer difficulty, near-falls or reduced endurance.</x:v>
      </x:c>
    </x:row>
    <x:row r="41" ht="38" customHeight="1">
      <x:c r="A41" s="22" t="str">
        <x:v>AS-02-1-C04</x:v>
      </x:c>
      <x:c r="B41" s="22" t="str">
        <x:v>AS-02</x:v>
      </x:c>
      <x:c r="C41" s="22" t="str">
        <x:v>Mobility / Transfers</x:v>
      </x:c>
      <x:c r="D41" s="22" t="n">
        <x:v>1</x:v>
      </x:c>
      <x:c r="E41" s="22" t="str">
        <x:v>Core</x:v>
      </x:c>
      <x:c r="F41" s="22" t="str">
        <x:v>Document episodes requiring more than standby help.</x:v>
      </x:c>
      <x:c r="G41" s="22" t="str">
        <x:v>Intermittent / identified activities</x:v>
      </x:c>
      <x:c r="H41" s="22" t="str">
        <x:v>Caregiver / care staff; nurse oversight as needed</x:v>
      </x:c>
      <x:c r="I41" s="22"/>
      <x:c r="J41" s="22" t="str">
        <x:v>Recurring contact guard, transfer difficulty, near-falls or reduced endurance.</x:v>
      </x:c>
    </x:row>
    <x:row r="42" ht="38" customHeight="1">
      <x:c r="A42" s="22" t="str">
        <x:v>AS-02-1-X01</x:v>
      </x:c>
      <x:c r="B42" s="22" t="str">
        <x:v>AS-02</x:v>
      </x:c>
      <x:c r="C42" s="22" t="str">
        <x:v>Mobility / Transfers</x:v>
      </x:c>
      <x:c r="D42" s="22" t="n">
        <x:v>1</x:v>
      </x:c>
      <x:c r="E42" s="22" t="str">
        <x:v>Condition-specific</x:v>
      </x:c>
      <x:c r="F42" s="22" t="str">
        <x:v>offer rest breaks and avoid rushing.</x:v>
      </x:c>
      <x:c r="G42" s="22" t="str">
        <x:v>Intermittent / identified activities</x:v>
      </x:c>
      <x:c r="H42" s="22" t="str">
        <x:v>Caregiver / care staff; nurse oversight as needed</x:v>
      </x:c>
      <x:c r="I42" s="22" t="str">
        <x:v>Frailty</x:v>
      </x:c>
      <x:c r="J42" s="22" t="str">
        <x:v>Recurring contact guard, transfer difficulty, near-falls or reduced endurance.</x:v>
      </x:c>
    </x:row>
    <x:row r="43" ht="38" customHeight="1">
      <x:c r="A43" s="22" t="str">
        <x:v>AS-02-1-X02</x:v>
      </x:c>
      <x:c r="B43" s="22" t="str">
        <x:v>AS-02</x:v>
      </x:c>
      <x:c r="C43" s="22" t="str">
        <x:v>Mobility / Transfers</x:v>
      </x:c>
      <x:c r="D43" s="22" t="n">
        <x:v>1</x:v>
      </x:c>
      <x:c r="E43" s="22" t="str">
        <x:v>Condition-specific</x:v>
      </x:c>
      <x:c r="F43" s="22" t="str">
        <x:v>short supervised walks as tolerated.</x:v>
      </x:c>
      <x:c r="G43" s="22" t="str">
        <x:v>Intermittent / identified activities</x:v>
      </x:c>
      <x:c r="H43" s="22" t="str">
        <x:v>Caregiver / care staff; nurse oversight as needed</x:v>
      </x:c>
      <x:c r="I43" s="22" t="str">
        <x:v>Post-hospital deconditioning</x:v>
      </x:c>
      <x:c r="J43" s="22" t="str">
        <x:v>Recurring contact guard, transfer difficulty, near-falls or reduced endurance.</x:v>
      </x:c>
    </x:row>
    <x:row r="44" ht="38" customHeight="1">
      <x:c r="A44" s="22" t="str">
        <x:v>AS-02-2-C01</x:v>
      </x:c>
      <x:c r="B44" s="22" t="str">
        <x:v>AS-02</x:v>
      </x:c>
      <x:c r="C44" s="22" t="str">
        <x:v>Mobility / Transfers</x:v>
      </x:c>
      <x:c r="D44" s="22" t="n">
        <x:v>2</x:v>
      </x:c>
      <x:c r="E44" s="22" t="str">
        <x:v>Core</x:v>
      </x:c>
      <x:c r="F44" s="22" t="str">
        <x:v>Provide recurring supervision/contact guard or minimal assist for transfers and ambulation.</x:v>
      </x:c>
      <x:c r="G44" s="22" t="str">
        <x:v>Each identified transfer/walk</x:v>
      </x:c>
      <x:c r="H44" s="22" t="str">
        <x:v>Caregiver / care staff; nurse oversight as needed</x:v>
      </x:c>
      <x:c r="I44" s="22"/>
      <x:c r="J44" s="22" t="str">
        <x:v>Need for substantial physical help, two-person transfer, recurrent buckling or falls.</x:v>
      </x:c>
    </x:row>
    <x:row r="45" ht="38" customHeight="1">
      <x:c r="A45" s="22" t="str">
        <x:v>AS-02-2-C02</x:v>
      </x:c>
      <x:c r="B45" s="22" t="str">
        <x:v>AS-02</x:v>
      </x:c>
      <x:c r="C45" s="22" t="str">
        <x:v>Mobility / Transfers</x:v>
      </x:c>
      <x:c r="D45" s="22" t="n">
        <x:v>2</x:v>
      </x:c>
      <x:c r="E45" s="22" t="str">
        <x:v>Core</x:v>
      </x:c>
      <x:c r="F45" s="22" t="str">
        <x:v>Use the same transfer technique and cue sequence across staff.</x:v>
      </x:c>
      <x:c r="G45" s="22" t="str">
        <x:v>Each identified transfer/walk</x:v>
      </x:c>
      <x:c r="H45" s="22" t="str">
        <x:v>Caregiver / care staff; nurse oversight as needed</x:v>
      </x:c>
      <x:c r="I45" s="22"/>
      <x:c r="J45" s="22" t="str">
        <x:v>Need for substantial physical help, two-person transfer, recurrent buckling or falls.</x:v>
      </x:c>
    </x:row>
    <x:row r="46" ht="38" customHeight="1">
      <x:c r="A46" s="22" t="str">
        <x:v>AS-02-2-C03</x:v>
      </x:c>
      <x:c r="B46" s="22" t="str">
        <x:v>AS-02</x:v>
      </x:c>
      <x:c r="C46" s="22" t="str">
        <x:v>Mobility / Transfers</x:v>
      </x:c>
      <x:c r="D46" s="22" t="n">
        <x:v>2</x:v>
      </x:c>
      <x:c r="E46" s="22" t="str">
        <x:v>Core</x:v>
      </x:c>
      <x:c r="F46" s="22" t="str">
        <x:v>Position mobility device correctly before standing/sitting.</x:v>
      </x:c>
      <x:c r="G46" s="22" t="str">
        <x:v>Each identified transfer/walk</x:v>
      </x:c>
      <x:c r="H46" s="22" t="str">
        <x:v>Caregiver / care staff; nurse oversight as needed</x:v>
      </x:c>
      <x:c r="I46" s="22"/>
      <x:c r="J46" s="22" t="str">
        <x:v>Need for substantial physical help, two-person transfer, recurrent buckling or falls.</x:v>
      </x:c>
    </x:row>
    <x:row r="47" ht="38" customHeight="1">
      <x:c r="A47" s="22" t="str">
        <x:v>AS-02-2-C04</x:v>
      </x:c>
      <x:c r="B47" s="22" t="str">
        <x:v>AS-02</x:v>
      </x:c>
      <x:c r="C47" s="22" t="str">
        <x:v>Mobility / Transfers</x:v>
      </x:c>
      <x:c r="D47" s="22" t="n">
        <x:v>2</x:v>
      </x:c>
      <x:c r="E47" s="22" t="str">
        <x:v>Core</x:v>
      </x:c>
      <x:c r="F47" s="22" t="str">
        <x:v>Monitor gait, balance, fatigue and dizziness during mobility.</x:v>
      </x:c>
      <x:c r="G47" s="22" t="str">
        <x:v>Each identified transfer/walk</x:v>
      </x:c>
      <x:c r="H47" s="22" t="str">
        <x:v>Caregiver / care staff; nurse oversight as needed</x:v>
      </x:c>
      <x:c r="I47" s="22"/>
      <x:c r="J47" s="22" t="str">
        <x:v>Need for substantial physical help, two-person transfer, recurrent buckling or falls.</x:v>
      </x:c>
    </x:row>
    <x:row r="48" ht="38" customHeight="1">
      <x:c r="A48" s="22" t="str">
        <x:v>AS-02-2-X01</x:v>
      </x:c>
      <x:c r="B48" s="22" t="str">
        <x:v>AS-02</x:v>
      </x:c>
      <x:c r="C48" s="22" t="str">
        <x:v>Mobility / Transfers</x:v>
      </x:c>
      <x:c r="D48" s="22" t="n">
        <x:v>2</x:v>
      </x:c>
      <x:c r="E48" s="22" t="str">
        <x:v>Condition-specific</x:v>
      </x:c>
      <x:c r="F48" s="22" t="str">
        <x:v>short one-step cues and visual demonstration.</x:v>
      </x:c>
      <x:c r="G48" s="22" t="str">
        <x:v>Each identified transfer/walk</x:v>
      </x:c>
      <x:c r="H48" s="22" t="str">
        <x:v>Caregiver / care staff; nurse oversight as needed</x:v>
      </x:c>
      <x:c r="I48" s="22" t="str">
        <x:v>Dementia</x:v>
      </x:c>
      <x:c r="J48" s="22" t="str">
        <x:v>Need for substantial physical help, two-person transfer, recurrent buckling or falls.</x:v>
      </x:c>
    </x:row>
    <x:row r="49" ht="38" customHeight="1">
      <x:c r="A49" s="22" t="str">
        <x:v>AS-02-2-X02</x:v>
      </x:c>
      <x:c r="B49" s="22" t="str">
        <x:v>AS-02</x:v>
      </x:c>
      <x:c r="C49" s="22" t="str">
        <x:v>Mobility / Transfers</x:v>
      </x:c>
      <x:c r="D49" s="22" t="n">
        <x:v>2</x:v>
      </x:c>
      <x:c r="E49" s="22" t="str">
        <x:v>Condition-specific</x:v>
      </x:c>
      <x:c r="F49" s="22" t="str">
        <x:v>pause at sitting/standing and report symptoms.</x:v>
      </x:c>
      <x:c r="G49" s="22" t="str">
        <x:v>Each identified transfer/walk</x:v>
      </x:c>
      <x:c r="H49" s="22" t="str">
        <x:v>Caregiver / care staff; nurse oversight as needed</x:v>
      </x:c>
      <x:c r="I49" s="22" t="str">
        <x:v>Orthostatic symptoms</x:v>
      </x:c>
      <x:c r="J49" s="22" t="str">
        <x:v>Need for substantial physical help, two-person transfer, recurrent buckling or falls.</x:v>
      </x:c>
    </x:row>
    <x:row r="50" ht="38" customHeight="1">
      <x:c r="A50" s="22" t="str">
        <x:v>AS-02-3-C01</x:v>
      </x:c>
      <x:c r="B50" s="22" t="str">
        <x:v>AS-02</x:v>
      </x:c>
      <x:c r="C50" s="22" t="str">
        <x:v>Mobility / Transfers</x:v>
      </x:c>
      <x:c r="D50" s="22" t="n">
        <x:v>3</x:v>
      </x:c>
      <x:c r="E50" s="22" t="str">
        <x:v>Core</x:v>
      </x:c>
      <x:c r="F50" s="22" t="str">
        <x:v>Provide substantial physical assistance for transfers and frequent mobility help.</x:v>
      </x:c>
      <x:c r="G50" s="22" t="str">
        <x:v>Frequent; most transfers/mobility episodes</x:v>
      </x:c>
      <x:c r="H50" s="22" t="str">
        <x:v>Caregiver / care staff; nurse oversight as needed</x:v>
      </x:c>
      <x:c r="I50" s="22"/>
      <x:c r="J50" s="22" t="str">
        <x:v>Unsafe one-person transfer, rapid decline, new neurologic deficit or inability to bear weight.</x:v>
      </x:c>
    </x:row>
    <x:row r="51" ht="38" customHeight="1">
      <x:c r="A51" s="22" t="str">
        <x:v>AS-02-3-C02</x:v>
      </x:c>
      <x:c r="B51" s="22" t="str">
        <x:v>AS-02</x:v>
      </x:c>
      <x:c r="C51" s="22" t="str">
        <x:v>Mobility / Transfers</x:v>
      </x:c>
      <x:c r="D51" s="22" t="n">
        <x:v>3</x:v>
      </x:c>
      <x:c r="E51" s="22" t="str">
        <x:v>Core</x:v>
      </x:c>
      <x:c r="F51" s="22" t="str">
        <x:v>Use gait belt/device only if approved by policy/care plan and staff are trained.</x:v>
      </x:c>
      <x:c r="G51" s="22" t="str">
        <x:v>Frequent; most transfers/mobility episodes</x:v>
      </x:c>
      <x:c r="H51" s="22" t="str">
        <x:v>Caregiver / care staff; nurse oversight as needed</x:v>
      </x:c>
      <x:c r="I51" s="22"/>
      <x:c r="J51" s="22" t="str">
        <x:v>Unsafe one-person transfer, rapid decline, new neurologic deficit or inability to bear weight.</x:v>
      </x:c>
    </x:row>
    <x:row r="52" ht="38" customHeight="1">
      <x:c r="A52" s="22" t="str">
        <x:v>AS-02-3-C03</x:v>
      </x:c>
      <x:c r="B52" s="22" t="str">
        <x:v>AS-02</x:v>
      </x:c>
      <x:c r="C52" s="22" t="str">
        <x:v>Mobility / Transfers</x:v>
      </x:c>
      <x:c r="D52" s="22" t="n">
        <x:v>3</x:v>
      </x:c>
      <x:c r="E52" s="22" t="str">
        <x:v>Core</x:v>
      </x:c>
      <x:c r="F52" s="22" t="str">
        <x:v>Plan toileting/meals to reduce unnecessary high-risk transfers.</x:v>
      </x:c>
      <x:c r="G52" s="22" t="str">
        <x:v>Frequent; most transfers/mobility episodes</x:v>
      </x:c>
      <x:c r="H52" s="22" t="str">
        <x:v>Caregiver / care staff; nurse oversight as needed</x:v>
      </x:c>
      <x:c r="I52" s="22"/>
      <x:c r="J52" s="22" t="str">
        <x:v>Unsafe one-person transfer, rapid decline, new neurologic deficit or inability to bear weight.</x:v>
      </x:c>
    </x:row>
    <x:row r="53" ht="38" customHeight="1">
      <x:c r="A53" s="22" t="str">
        <x:v>AS-02-3-C04</x:v>
      </x:c>
      <x:c r="B53" s="22" t="str">
        <x:v>AS-02</x:v>
      </x:c>
      <x:c r="C53" s="22" t="str">
        <x:v>Mobility / Transfers</x:v>
      </x:c>
      <x:c r="D53" s="22" t="n">
        <x:v>3</x:v>
      </x:c>
      <x:c r="E53" s="22" t="str">
        <x:v>Core</x:v>
      </x:c>
      <x:c r="F53" s="22" t="str">
        <x:v>Coordinate mobility technique with nurse/PT/OT and document tolerance.</x:v>
      </x:c>
      <x:c r="G53" s="22" t="str">
        <x:v>Frequent; most transfers/mobility episodes</x:v>
      </x:c>
      <x:c r="H53" s="22" t="str">
        <x:v>Caregiver / care staff; nurse oversight as needed</x:v>
      </x:c>
      <x:c r="I53" s="22"/>
      <x:c r="J53" s="22" t="str">
        <x:v>Unsafe one-person transfer, rapid decline, new neurologic deficit or inability to bear weight.</x:v>
      </x:c>
    </x:row>
    <x:row r="54" ht="38" customHeight="1">
      <x:c r="A54" s="22" t="str">
        <x:v>AS-02-3-X01</x:v>
      </x:c>
      <x:c r="B54" s="22" t="str">
        <x:v>AS-02</x:v>
      </x:c>
      <x:c r="C54" s="22" t="str">
        <x:v>Mobility / Transfers</x:v>
      </x:c>
      <x:c r="D54" s="22" t="n">
        <x:v>3</x:v>
      </x:c>
      <x:c r="E54" s="22" t="str">
        <x:v>Condition-specific</x:v>
      </x:c>
      <x:c r="F54" s="22" t="str">
        <x:v>follow therapy-prescribed side/technique.</x:v>
      </x:c>
      <x:c r="G54" s="22" t="str">
        <x:v>Frequent; most transfers/mobility episodes</x:v>
      </x:c>
      <x:c r="H54" s="22" t="str">
        <x:v>Caregiver / care staff; nurse oversight as needed</x:v>
      </x:c>
      <x:c r="I54" s="22" t="str">
        <x:v>Post-stroke</x:v>
      </x:c>
      <x:c r="J54" s="22" t="str">
        <x:v>Unsafe one-person transfer, rapid decline, new neurologic deficit or inability to bear weight.</x:v>
      </x:c>
    </x:row>
    <x:row r="55" ht="38" customHeight="1">
      <x:c r="A55" s="22" t="str">
        <x:v>AS-02-3-X02</x:v>
      </x:c>
      <x:c r="B55" s="22" t="str">
        <x:v>AS-02</x:v>
      </x:c>
      <x:c r="C55" s="22" t="str">
        <x:v>Mobility / Transfers</x:v>
      </x:c>
      <x:c r="D55" s="22" t="n">
        <x:v>3</x:v>
      </x:c>
      <x:c r="E55" s="22" t="str">
        <x:v>Condition-specific</x:v>
      </x:c>
      <x:c r="F55" s="22" t="str">
        <x:v>allow time for initiation and avoid pulling on arms.</x:v>
      </x:c>
      <x:c r="G55" s="22" t="str">
        <x:v>Frequent; most transfers/mobility episodes</x:v>
      </x:c>
      <x:c r="H55" s="22" t="str">
        <x:v>Caregiver / care staff; nurse oversight as needed</x:v>
      </x:c>
      <x:c r="I55" s="22" t="str">
        <x:v>Parkinsonism</x:v>
      </x:c>
      <x:c r="J55" s="22" t="str">
        <x:v>Unsafe one-person transfer, rapid decline, new neurologic deficit or inability to bear weight.</x:v>
      </x:c>
    </x:row>
    <x:row r="56" ht="38" customHeight="1">
      <x:c r="A56" s="22" t="str">
        <x:v>AS-02-4-C01</x:v>
      </x:c>
      <x:c r="B56" s="22" t="str">
        <x:v>AS-02</x:v>
      </x:c>
      <x:c r="C56" s="22" t="str">
        <x:v>Mobility / Transfers</x:v>
      </x:c>
      <x:c r="D56" s="22" t="n">
        <x:v>4</x:v>
      </x:c>
      <x:c r="E56" s="22" t="str">
        <x:v>Core</x:v>
      </x:c>
      <x:c r="F56" s="22" t="str">
        <x:v>Provide extensive transfer/mobility support according to the established safe-handling plan.</x:v>
      </x:c>
      <x:c r="G56" s="22" t="str">
        <x:v>Every transfer/repositioning episode</x:v>
      </x:c>
      <x:c r="H56" s="22" t="str">
        <x:v>Caregiver / care staff; nurse oversight as needed</x:v>
      </x:c>
      <x:c r="I56" s="22"/>
      <x:c r="J56" s="22" t="str">
        <x:v>New pain/injury, inability to transfer safely with current resources or equipment failure.</x:v>
      </x:c>
    </x:row>
    <x:row r="57" ht="38" customHeight="1">
      <x:c r="A57" s="22" t="str">
        <x:v>AS-02-4-C02</x:v>
      </x:c>
      <x:c r="B57" s="22" t="str">
        <x:v>AS-02</x:v>
      </x:c>
      <x:c r="C57" s="22" t="str">
        <x:v>Mobility / Transfers</x:v>
      </x:c>
      <x:c r="D57" s="22" t="n">
        <x:v>4</x:v>
      </x:c>
      <x:c r="E57" s="22" t="str">
        <x:v>Core</x:v>
      </x:c>
      <x:c r="F57" s="22" t="str">
        <x:v>Use mechanical/two-person transfer when required and available within capability.</x:v>
      </x:c>
      <x:c r="G57" s="22" t="str">
        <x:v>Every transfer/repositioning episode</x:v>
      </x:c>
      <x:c r="H57" s="22" t="str">
        <x:v>Caregiver / care staff; nurse oversight as needed</x:v>
      </x:c>
      <x:c r="I57" s="22"/>
      <x:c r="J57" s="22" t="str">
        <x:v>New pain/injury, inability to transfer safely with current resources or equipment failure.</x:v>
      </x:c>
    </x:row>
    <x:row r="58" ht="38" customHeight="1">
      <x:c r="A58" s="22" t="str">
        <x:v>AS-02-4-C03</x:v>
      </x:c>
      <x:c r="B58" s="22" t="str">
        <x:v>AS-02</x:v>
      </x:c>
      <x:c r="C58" s="22" t="str">
        <x:v>Mobility / Transfers</x:v>
      </x:c>
      <x:c r="D58" s="22" t="n">
        <x:v>4</x:v>
      </x:c>
      <x:c r="E58" s="22" t="str">
        <x:v>Core</x:v>
      </x:c>
      <x:c r="F58" s="22" t="str">
        <x:v>Reposition regularly and support comfort in bed/chair.</x:v>
      </x:c>
      <x:c r="G58" s="22" t="str">
        <x:v>Every transfer/repositioning episode</x:v>
      </x:c>
      <x:c r="H58" s="22" t="str">
        <x:v>Caregiver / care staff; nurse oversight as needed</x:v>
      </x:c>
      <x:c r="I58" s="22"/>
      <x:c r="J58" s="22" t="str">
        <x:v>New pain/injury, inability to transfer safely with current resources or equipment failure.</x:v>
      </x:c>
    </x:row>
    <x:row r="59" ht="38" customHeight="1">
      <x:c r="A59" s="22" t="str">
        <x:v>AS-02-4-C04</x:v>
      </x:c>
      <x:c r="B59" s="22" t="str">
        <x:v>AS-02</x:v>
      </x:c>
      <x:c r="C59" s="22" t="str">
        <x:v>Mobility / Transfers</x:v>
      </x:c>
      <x:c r="D59" s="22" t="n">
        <x:v>4</x:v>
      </x:c>
      <x:c r="E59" s="22" t="str">
        <x:v>Core</x:v>
      </x:c>
      <x:c r="F59" s="22" t="str">
        <x:v>Check for pain, skin pressure and tolerance after transfers.</x:v>
      </x:c>
      <x:c r="G59" s="22" t="str">
        <x:v>Every transfer/repositioning episode</x:v>
      </x:c>
      <x:c r="H59" s="22" t="str">
        <x:v>Caregiver / care staff; nurse oversight as needed</x:v>
      </x:c>
      <x:c r="I59" s="22"/>
      <x:c r="J59" s="22" t="str">
        <x:v>New pain/injury, inability to transfer safely with current resources or equipment failure.</x:v>
      </x:c>
    </x:row>
    <x:row r="60" ht="38" customHeight="1">
      <x:c r="A60" s="22" t="str">
        <x:v>AS-02-4-X01</x:v>
      </x:c>
      <x:c r="B60" s="22" t="str">
        <x:v>AS-02</x:v>
      </x:c>
      <x:c r="C60" s="22" t="str">
        <x:v>Mobility / Transfers</x:v>
      </x:c>
      <x:c r="D60" s="22" t="n">
        <x:v>4</x:v>
      </x:c>
      <x:c r="E60" s="22" t="str">
        <x:v>Condition-specific</x:v>
      </x:c>
      <x:c r="F60" s="22" t="str">
        <x:v>minimize unnecessary transfers and prioritize comfort.</x:v>
      </x:c>
      <x:c r="G60" s="22" t="str">
        <x:v>Every transfer/repositioning episode</x:v>
      </x:c>
      <x:c r="H60" s="22" t="str">
        <x:v>Caregiver / care staff; nurse oversight as needed</x:v>
      </x:c>
      <x:c r="I60" s="22" t="str">
        <x:v>Severe frailty</x:v>
      </x:c>
      <x:c r="J60" s="22" t="str">
        <x:v>New pain/injury, inability to transfer safely with current resources or equipment failure.</x:v>
      </x:c>
    </x:row>
    <x:row r="61" ht="38" customHeight="1">
      <x:c r="A61" s="22" t="str">
        <x:v>AS-02-4-X02</x:v>
      </x:c>
      <x:c r="B61" s="22" t="str">
        <x:v>AS-02</x:v>
      </x:c>
      <x:c r="C61" s="22" t="str">
        <x:v>Mobility / Transfers</x:v>
      </x:c>
      <x:c r="D61" s="22" t="n">
        <x:v>4</x:v>
      </x:c>
      <x:c r="E61" s="22" t="str">
        <x:v>Condition-specific</x:v>
      </x:c>
      <x:c r="F61" s="22" t="str">
        <x:v>position carefully; follow therapy positioning plan.</x:v>
      </x:c>
      <x:c r="G61" s="22" t="str">
        <x:v>Every transfer/repositioning episode</x:v>
      </x:c>
      <x:c r="H61" s="22" t="str">
        <x:v>Caregiver / care staff; nurse oversight as needed</x:v>
      </x:c>
      <x:c r="I61" s="22" t="str">
        <x:v>Contractures</x:v>
      </x:c>
      <x:c r="J61" s="22" t="str">
        <x:v>New pain/injury, inability to transfer safely with current resources or equipment failure.</x:v>
      </x:c>
    </x:row>
    <x:row r="62" ht="38" customHeight="1">
      <x:c r="A62" s="22" t="str">
        <x:v>AS-03-0-C01</x:v>
      </x:c>
      <x:c r="B62" s="22" t="str">
        <x:v>AS-03</x:v>
      </x:c>
      <x:c r="C62" s="22" t="str">
        <x:v>Fall Risk</x:v>
      </x:c>
      <x:c r="D62" s="22" t="n">
        <x:v>0</x:v>
      </x:c>
      <x:c r="E62" s="22" t="str">
        <x:v>Core</x:v>
      </x:c>
      <x:c r="F62" s="22" t="str">
        <x:v>Maintain clear pathways, adequate lighting and safe footwear.</x:v>
      </x:c>
      <x:c r="G62" s="22" t="str">
        <x:v>Routine prevention</x:v>
      </x:c>
      <x:c r="H62" s="22" t="str">
        <x:v>Caregiver + nurse</x:v>
      </x:c>
      <x:c r="I62" s="22"/>
      <x:c r="J62" s="22" t="str">
        <x:v>Any fall/near-fall or newly identified fall-risk factor.</x:v>
      </x:c>
    </x:row>
    <x:row r="63" ht="38" customHeight="1">
      <x:c r="A63" s="22" t="str">
        <x:v>AS-03-0-C02</x:v>
      </x:c>
      <x:c r="B63" s="22" t="str">
        <x:v>AS-03</x:v>
      </x:c>
      <x:c r="C63" s="22" t="str">
        <x:v>Fall Risk</x:v>
      </x:c>
      <x:c r="D63" s="22" t="n">
        <x:v>0</x:v>
      </x:c>
      <x:c r="E63" s="22" t="str">
        <x:v>Core</x:v>
      </x:c>
      <x:c r="F63" s="22" t="str">
        <x:v>Keep call system/personal items within reach.</x:v>
      </x:c>
      <x:c r="G63" s="22" t="str">
        <x:v>Routine prevention</x:v>
      </x:c>
      <x:c r="H63" s="22" t="str">
        <x:v>Caregiver + nurse</x:v>
      </x:c>
      <x:c r="I63" s="22"/>
      <x:c r="J63" s="22" t="str">
        <x:v>Any fall/near-fall or newly identified fall-risk factor.</x:v>
      </x:c>
    </x:row>
    <x:row r="64" ht="38" customHeight="1">
      <x:c r="A64" s="22" t="str">
        <x:v>AS-03-0-C03</x:v>
      </x:c>
      <x:c r="B64" s="22" t="str">
        <x:v>AS-03</x:v>
      </x:c>
      <x:c r="C64" s="22" t="str">
        <x:v>Fall Risk</x:v>
      </x:c>
      <x:c r="D64" s="22" t="n">
        <x:v>0</x:v>
      </x:c>
      <x:c r="E64" s="22" t="str">
        <x:v>Core</x:v>
      </x:c>
      <x:c r="F64" s="22" t="str">
        <x:v>Encourage usual safe mobility habits.</x:v>
      </x:c>
      <x:c r="G64" s="22" t="str">
        <x:v>Routine prevention</x:v>
      </x:c>
      <x:c r="H64" s="22" t="str">
        <x:v>Caregiver + nurse</x:v>
      </x:c>
      <x:c r="I64" s="22"/>
      <x:c r="J64" s="22" t="str">
        <x:v>Any fall/near-fall or newly identified fall-risk factor.</x:v>
      </x:c>
    </x:row>
    <x:row r="65" ht="38" customHeight="1">
      <x:c r="A65" s="22" t="str">
        <x:v>AS-03-0-C04</x:v>
      </x:c>
      <x:c r="B65" s="22" t="str">
        <x:v>AS-03</x:v>
      </x:c>
      <x:c r="C65" s="22" t="str">
        <x:v>Fall Risk</x:v>
      </x:c>
      <x:c r="D65" s="22" t="n">
        <x:v>0</x:v>
      </x:c>
      <x:c r="E65" s="22" t="str">
        <x:v>Core</x:v>
      </x:c>
      <x:c r="F65" s="22" t="str">
        <x:v>Record any new fall or near-fall.</x:v>
      </x:c>
      <x:c r="G65" s="22" t="str">
        <x:v>Routine prevention</x:v>
      </x:c>
      <x:c r="H65" s="22" t="str">
        <x:v>Caregiver + nurse</x:v>
      </x:c>
      <x:c r="I65" s="22"/>
      <x:c r="J65" s="22" t="str">
        <x:v>Any fall/near-fall or newly identified fall-risk factor.</x:v>
      </x:c>
    </x:row>
    <x:row r="66" ht="38" customHeight="1">
      <x:c r="A66" s="22" t="str">
        <x:v>AS-03-0-X01</x:v>
      </x:c>
      <x:c r="B66" s="22" t="str">
        <x:v>AS-03</x:v>
      </x:c>
      <x:c r="C66" s="22" t="str">
        <x:v>Fall Risk</x:v>
      </x:c>
      <x:c r="D66" s="22" t="n">
        <x:v>0</x:v>
      </x:c>
      <x:c r="E66" s="22" t="str">
        <x:v>Condition-specific</x:v>
      </x:c>
      <x:c r="F66" s="22" t="str">
        <x:v>maximize lighting/contrast.</x:v>
      </x:c>
      <x:c r="G66" s="22" t="str">
        <x:v>Routine prevention</x:v>
      </x:c>
      <x:c r="H66" s="22" t="str">
        <x:v>Caregiver + nurse</x:v>
      </x:c>
      <x:c r="I66" s="22" t="str">
        <x:v>Visual impairment</x:v>
      </x:c>
      <x:c r="J66" s="22" t="str">
        <x:v>Any fall/near-fall or newly identified fall-risk factor.</x:v>
      </x:c>
    </x:row>
    <x:row r="67" ht="38" customHeight="1">
      <x:c r="A67" s="22" t="str">
        <x:v>AS-03-0-X02</x:v>
      </x:c>
      <x:c r="B67" s="22" t="str">
        <x:v>AS-03</x:v>
      </x:c>
      <x:c r="C67" s="22" t="str">
        <x:v>Fall Risk</x:v>
      </x:c>
      <x:c r="D67" s="22" t="n">
        <x:v>0</x:v>
      </x:c>
      <x:c r="E67" s="22" t="str">
        <x:v>Condition-specific</x:v>
      </x:c>
      <x:c r="F67" s="22" t="str">
        <x:v>use night light if preferred.</x:v>
      </x:c>
      <x:c r="G67" s="22" t="str">
        <x:v>Routine prevention</x:v>
      </x:c>
      <x:c r="H67" s="22" t="str">
        <x:v>Caregiver + nurse</x:v>
      </x:c>
      <x:c r="I67" s="22" t="str">
        <x:v>Nighttime bathroom use</x:v>
      </x:c>
      <x:c r="J67" s="22" t="str">
        <x:v>Any fall/near-fall or newly identified fall-risk factor.</x:v>
      </x:c>
    </x:row>
    <x:row r="68" ht="38" customHeight="1">
      <x:c r="A68" s="22" t="str">
        <x:v>AS-03-1-C01</x:v>
      </x:c>
      <x:c r="B68" s="22" t="str">
        <x:v>AS-03</x:v>
      </x:c>
      <x:c r="C68" s="22" t="str">
        <x:v>Fall Risk</x:v>
      </x:c>
      <x:c r="D68" s="22" t="n">
        <x:v>1</x:v>
      </x:c>
      <x:c r="E68" s="22" t="str">
        <x:v>Core</x:v>
      </x:c>
      <x:c r="F68" s="22" t="str">
        <x:v>Complete routine fall-prevention check each shift/day per policy.</x:v>
      </x:c>
      <x:c r="G68" s="22" t="str">
        <x:v>Routine; after any near-fall</x:v>
      </x:c>
      <x:c r="H68" s="22" t="str">
        <x:v>Caregiver + nurse</x:v>
      </x:c>
      <x:c r="I68" s="22"/>
      <x:c r="J68" s="22" t="str">
        <x:v>Repeated near-falls, new gait/balance concern or need for individualized precautions.</x:v>
      </x:c>
    </x:row>
    <x:row r="69" ht="38" customHeight="1">
      <x:c r="A69" s="22" t="str">
        <x:v>AS-03-1-C02</x:v>
      </x:c>
      <x:c r="B69" s="22" t="str">
        <x:v>AS-03</x:v>
      </x:c>
      <x:c r="C69" s="22" t="str">
        <x:v>Fall Risk</x:v>
      </x:c>
      <x:c r="D69" s="22" t="n">
        <x:v>1</x:v>
      </x:c>
      <x:c r="E69" s="22" t="str">
        <x:v>Core</x:v>
      </x:c>
      <x:c r="F69" s="22" t="str">
        <x:v>Remind resident to use mobility device and avoid rushing.</x:v>
      </x:c>
      <x:c r="G69" s="22" t="str">
        <x:v>Routine; after any near-fall</x:v>
      </x:c>
      <x:c r="H69" s="22" t="str">
        <x:v>Caregiver + nurse</x:v>
      </x:c>
      <x:c r="I69" s="22"/>
      <x:c r="J69" s="22" t="str">
        <x:v>Repeated near-falls, new gait/balance concern or need for individualized precautions.</x:v>
      </x:c>
    </x:row>
    <x:row r="70" ht="38" customHeight="1">
      <x:c r="A70" s="22" t="str">
        <x:v>AS-03-1-C03</x:v>
      </x:c>
      <x:c r="B70" s="22" t="str">
        <x:v>AS-03</x:v>
      </x:c>
      <x:c r="C70" s="22" t="str">
        <x:v>Fall Risk</x:v>
      </x:c>
      <x:c r="D70" s="22" t="n">
        <x:v>1</x:v>
      </x:c>
      <x:c r="E70" s="22" t="str">
        <x:v>Core</x:v>
      </x:c>
      <x:c r="F70" s="22" t="str">
        <x:v>Ensure room/bathroom setup supports safe movement.</x:v>
      </x:c>
      <x:c r="G70" s="22" t="str">
        <x:v>Routine; after any near-fall</x:v>
      </x:c>
      <x:c r="H70" s="22" t="str">
        <x:v>Caregiver + nurse</x:v>
      </x:c>
      <x:c r="I70" s="22"/>
      <x:c r="J70" s="22" t="str">
        <x:v>Repeated near-falls, new gait/balance concern or need for individualized precautions.</x:v>
      </x:c>
    </x:row>
    <x:row r="71" ht="38" customHeight="1">
      <x:c r="A71" s="22" t="str">
        <x:v>AS-03-1-C04</x:v>
      </x:c>
      <x:c r="B71" s="22" t="str">
        <x:v>AS-03</x:v>
      </x:c>
      <x:c r="C71" s="22" t="str">
        <x:v>Fall Risk</x:v>
      </x:c>
      <x:c r="D71" s="22" t="n">
        <x:v>1</x:v>
      </x:c>
      <x:c r="E71" s="22" t="str">
        <x:v>Core</x:v>
      </x:c>
      <x:c r="F71" s="22" t="str">
        <x:v>Review any near-fall for contributing factors.</x:v>
      </x:c>
      <x:c r="G71" s="22" t="str">
        <x:v>Routine; after any near-fall</x:v>
      </x:c>
      <x:c r="H71" s="22" t="str">
        <x:v>Caregiver + nurse</x:v>
      </x:c>
      <x:c r="I71" s="22"/>
      <x:c r="J71" s="22" t="str">
        <x:v>Repeated near-falls, new gait/balance concern or need for individualized precautions.</x:v>
      </x:c>
    </x:row>
    <x:row r="72" ht="38" customHeight="1">
      <x:c r="A72" s="22" t="str">
        <x:v>AS-03-1-X01</x:v>
      </x:c>
      <x:c r="B72" s="22" t="str">
        <x:v>AS-03</x:v>
      </x:c>
      <x:c r="C72" s="22" t="str">
        <x:v>Fall Risk</x:v>
      </x:c>
      <x:c r="D72" s="22" t="n">
        <x:v>1</x:v>
      </x:c>
      <x:c r="E72" s="22" t="str">
        <x:v>Condition-specific</x:v>
      </x:c>
      <x:c r="F72" s="22" t="str">
        <x:v>observe for drowsiness/unsteadiness after administration.</x:v>
      </x:c>
      <x:c r="G72" s="22" t="str">
        <x:v>Routine; after any near-fall</x:v>
      </x:c>
      <x:c r="H72" s="22" t="str">
        <x:v>Caregiver + nurse</x:v>
      </x:c>
      <x:c r="I72" s="22" t="str">
        <x:v>Sedating medication</x:v>
      </x:c>
      <x:c r="J72" s="22" t="str">
        <x:v>Repeated near-falls, new gait/balance concern or need for individualized precautions.</x:v>
      </x:c>
    </x:row>
    <x:row r="73" ht="38" customHeight="1">
      <x:c r="A73" s="22" t="str">
        <x:v>AS-03-1-X02</x:v>
      </x:c>
      <x:c r="B73" s="22" t="str">
        <x:v>AS-03</x:v>
      </x:c>
      <x:c r="C73" s="22" t="str">
        <x:v>Fall Risk</x:v>
      </x:c>
      <x:c r="D73" s="22" t="n">
        <x:v>1</x:v>
      </x:c>
      <x:c r="E73" s="22" t="str">
        <x:v>Condition-specific</x:v>
      </x:c>
      <x:c r="F73" s="22" t="str">
        <x:v>watch for weakness/confusion.</x:v>
      </x:c>
      <x:c r="G73" s="22" t="str">
        <x:v>Routine; after any near-fall</x:v>
      </x:c>
      <x:c r="H73" s="22" t="str">
        <x:v>Caregiver + nurse</x:v>
      </x:c>
      <x:c r="I73" s="22" t="str">
        <x:v>Recent UTI/deconditioning</x:v>
      </x:c>
      <x:c r="J73" s="22" t="str">
        <x:v>Repeated near-falls, new gait/balance concern or need for individualized precautions.</x:v>
      </x:c>
    </x:row>
    <x:row r="74" ht="38" customHeight="1">
      <x:c r="A74" s="22" t="str">
        <x:v>AS-03-2-C01</x:v>
      </x:c>
      <x:c r="B74" s="22" t="str">
        <x:v>AS-03</x:v>
      </x:c>
      <x:c r="C74" s="22" t="str">
        <x:v>Fall Risk</x:v>
      </x:c>
      <x:c r="D74" s="22" t="n">
        <x:v>2</x:v>
      </x:c>
      <x:c r="E74" s="22" t="str">
        <x:v>Core</x:v>
      </x:c>
      <x:c r="F74" s="22" t="str">
        <x:v>Implement individualized fall precautions documented in the care plan.</x:v>
      </x:c>
      <x:c r="G74" s="22" t="str">
        <x:v>Regular; each risk activity</x:v>
      </x:c>
      <x:c r="H74" s="22" t="str">
        <x:v>Caregiver + nurse</x:v>
      </x:c>
      <x:c r="I74" s="22"/>
      <x:c r="J74" s="22" t="str">
        <x:v>Fall with injury, increasing supervision need, acute confusion or recurrent unsafe mobility.</x:v>
      </x:c>
    </x:row>
    <x:row r="75" ht="38" customHeight="1">
      <x:c r="A75" s="22" t="str">
        <x:v>AS-03-2-C02</x:v>
      </x:c>
      <x:c r="B75" s="22" t="str">
        <x:v>AS-03</x:v>
      </x:c>
      <x:c r="C75" s="22" t="str">
        <x:v>Fall Risk</x:v>
      </x:c>
      <x:c r="D75" s="22" t="n">
        <x:v>2</x:v>
      </x:c>
      <x:c r="E75" s="22" t="str">
        <x:v>Core</x:v>
      </x:c>
      <x:c r="F75" s="22" t="str">
        <x:v>Provide assistance for identified high-risk activities (toileting, transfers, showering).</x:v>
      </x:c>
      <x:c r="G75" s="22" t="str">
        <x:v>Regular; each risk activity</x:v>
      </x:c>
      <x:c r="H75" s="22" t="str">
        <x:v>Caregiver + nurse</x:v>
      </x:c>
      <x:c r="I75" s="22"/>
      <x:c r="J75" s="22" t="str">
        <x:v>Fall with injury, increasing supervision need, acute confusion or recurrent unsafe mobility.</x:v>
      </x:c>
    </x:row>
    <x:row r="76" ht="38" customHeight="1">
      <x:c r="A76" s="22" t="str">
        <x:v>AS-03-2-C03</x:v>
      </x:c>
      <x:c r="B76" s="22" t="str">
        <x:v>AS-03</x:v>
      </x:c>
      <x:c r="C76" s="22" t="str">
        <x:v>Fall Risk</x:v>
      </x:c>
      <x:c r="D76" s="22" t="n">
        <x:v>2</x:v>
      </x:c>
      <x:c r="E76" s="22" t="str">
        <x:v>Core</x:v>
      </x:c>
      <x:c r="F76" s="22" t="str">
        <x:v>Monitor gait, balance, footwear, device use and environmental contributors.</x:v>
      </x:c>
      <x:c r="G76" s="22" t="str">
        <x:v>Regular; each risk activity</x:v>
      </x:c>
      <x:c r="H76" s="22" t="str">
        <x:v>Caregiver + nurse</x:v>
      </x:c>
      <x:c r="I76" s="22"/>
      <x:c r="J76" s="22" t="str">
        <x:v>Fall with injury, increasing supervision need, acute confusion or recurrent unsafe mobility.</x:v>
      </x:c>
    </x:row>
    <x:row r="77" ht="38" customHeight="1">
      <x:c r="A77" s="22" t="str">
        <x:v>AS-03-2-C04</x:v>
      </x:c>
      <x:c r="B77" s="22" t="str">
        <x:v>AS-03</x:v>
      </x:c>
      <x:c r="C77" s="22" t="str">
        <x:v>Fall Risk</x:v>
      </x:c>
      <x:c r="D77" s="22" t="n">
        <x:v>2</x:v>
      </x:c>
      <x:c r="E77" s="22" t="str">
        <x:v>Core</x:v>
      </x:c>
      <x:c r="F77" s="22" t="str">
        <x:v>Review medications/clinical contributors with nurse when risk changes.</x:v>
      </x:c>
      <x:c r="G77" s="22" t="str">
        <x:v>Regular; each risk activity</x:v>
      </x:c>
      <x:c r="H77" s="22" t="str">
        <x:v>Caregiver + nurse</x:v>
      </x:c>
      <x:c r="I77" s="22"/>
      <x:c r="J77" s="22" t="str">
        <x:v>Fall with injury, increasing supervision need, acute confusion or recurrent unsafe mobility.</x:v>
      </x:c>
    </x:row>
    <x:row r="78" ht="38" customHeight="1">
      <x:c r="A78" s="22" t="str">
        <x:v>AS-03-2-X01</x:v>
      </x:c>
      <x:c r="B78" s="22" t="str">
        <x:v>AS-03</x:v>
      </x:c>
      <x:c r="C78" s="22" t="str">
        <x:v>Fall Risk</x:v>
      </x:c>
      <x:c r="D78" s="22" t="n">
        <x:v>2</x:v>
      </x:c>
      <x:c r="E78" s="22" t="str">
        <x:v>Condition-specific</x:v>
      </x:c>
      <x:c r="F78" s="22" t="str">
        <x:v>slow position changes; report symptomatic BP issues per order.</x:v>
      </x:c>
      <x:c r="G78" s="22" t="str">
        <x:v>Regular; each risk activity</x:v>
      </x:c>
      <x:c r="H78" s="22" t="str">
        <x:v>Caregiver + nurse</x:v>
      </x:c>
      <x:c r="I78" s="22" t="str">
        <x:v>Orthostatic hypotension</x:v>
      </x:c>
      <x:c r="J78" s="22" t="str">
        <x:v>Fall with injury, increasing supervision need, acute confusion or recurrent unsafe mobility.</x:v>
      </x:c>
    </x:row>
    <x:row r="79" ht="38" customHeight="1">
      <x:c r="A79" s="22" t="str">
        <x:v>AS-03-2-X02</x:v>
      </x:c>
      <x:c r="B79" s="22" t="str">
        <x:v>AS-03</x:v>
      </x:c>
      <x:c r="C79" s="22" t="str">
        <x:v>Fall Risk</x:v>
      </x:c>
      <x:c r="D79" s="22" t="n">
        <x:v>2</x:v>
      </x:c>
      <x:c r="E79" s="22" t="str">
        <x:v>Condition-specific</x:v>
      </x:c>
      <x:c r="F79" s="22" t="str">
        <x:v>use visible cues and consistent pathways; avoid restrictive measures.</x:v>
      </x:c>
      <x:c r="G79" s="22" t="str">
        <x:v>Regular; each risk activity</x:v>
      </x:c>
      <x:c r="H79" s="22" t="str">
        <x:v>Caregiver + nurse</x:v>
      </x:c>
      <x:c r="I79" s="22" t="str">
        <x:v>Dementia</x:v>
      </x:c>
      <x:c r="J79" s="22" t="str">
        <x:v>Fall with injury, increasing supervision need, acute confusion or recurrent unsafe mobility.</x:v>
      </x:c>
    </x:row>
    <x:row r="80" ht="38" customHeight="1">
      <x:c r="A80" s="22" t="str">
        <x:v>AS-03-3-C01</x:v>
      </x:c>
      <x:c r="B80" s="22" t="str">
        <x:v>AS-03</x:v>
      </x:c>
      <x:c r="C80" s="22" t="str">
        <x:v>Fall Risk</x:v>
      </x:c>
      <x:c r="D80" s="22" t="n">
        <x:v>3</x:v>
      </x:c>
      <x:c r="E80" s="22" t="str">
        <x:v>Core</x:v>
      </x:c>
      <x:c r="F80" s="22" t="str">
        <x:v>Provide regular supervision/assistance during mobility and identified risk periods.</x:v>
      </x:c>
      <x:c r="G80" s="22" t="str">
        <x:v>Frequent; high-risk periods</x:v>
      </x:c>
      <x:c r="H80" s="22" t="str">
        <x:v>Caregiver + nurse</x:v>
      </x:c>
      <x:c r="I80" s="22"/>
      <x:c r="J80" s="22" t="str">
        <x:v>Recurrent falls despite plan, new injury, significant decline or need for near-continuous supervision.</x:v>
      </x:c>
    </x:row>
    <x:row r="81" ht="38" customHeight="1">
      <x:c r="A81" s="22" t="str">
        <x:v>AS-03-3-C02</x:v>
      </x:c>
      <x:c r="B81" s="22" t="str">
        <x:v>AS-03</x:v>
      </x:c>
      <x:c r="C81" s="22" t="str">
        <x:v>Fall Risk</x:v>
      </x:c>
      <x:c r="D81" s="22" t="n">
        <x:v>3</x:v>
      </x:c>
      <x:c r="E81" s="22" t="str">
        <x:v>Core</x:v>
      </x:c>
      <x:c r="F81" s="22" t="str">
        <x:v>Schedule proactive toileting and respond promptly to mobility needs.</x:v>
      </x:c>
      <x:c r="G81" s="22" t="str">
        <x:v>Frequent; high-risk periods</x:v>
      </x:c>
      <x:c r="H81" s="22" t="str">
        <x:v>Caregiver + nurse</x:v>
      </x:c>
      <x:c r="I81" s="22"/>
      <x:c r="J81" s="22" t="str">
        <x:v>Recurrent falls despite plan, new injury, significant decline or need for near-continuous supervision.</x:v>
      </x:c>
    </x:row>
    <x:row r="82" ht="38" customHeight="1">
      <x:c r="A82" s="22" t="str">
        <x:v>AS-03-3-C03</x:v>
      </x:c>
      <x:c r="B82" s="22" t="str">
        <x:v>AS-03</x:v>
      </x:c>
      <x:c r="C82" s="22" t="str">
        <x:v>Fall Risk</x:v>
      </x:c>
      <x:c r="D82" s="22" t="n">
        <x:v>3</x:v>
      </x:c>
      <x:c r="E82" s="22" t="str">
        <x:v>Core</x:v>
      </x:c>
      <x:c r="F82" s="22" t="str">
        <x:v>Use individualized cues/redirection to prevent unsafe unassisted movement.</x:v>
      </x:c>
      <x:c r="G82" s="22" t="str">
        <x:v>Frequent; high-risk periods</x:v>
      </x:c>
      <x:c r="H82" s="22" t="str">
        <x:v>Caregiver + nurse</x:v>
      </x:c>
      <x:c r="I82" s="22"/>
      <x:c r="J82" s="22" t="str">
        <x:v>Recurrent falls despite plan, new injury, significant decline or need for near-continuous supervision.</x:v>
      </x:c>
    </x:row>
    <x:row r="83" ht="38" customHeight="1">
      <x:c r="A83" s="22" t="str">
        <x:v>AS-03-3-C04</x:v>
      </x:c>
      <x:c r="B83" s="22" t="str">
        <x:v>AS-03</x:v>
      </x:c>
      <x:c r="C83" s="22" t="str">
        <x:v>Fall Risk</x:v>
      </x:c>
      <x:c r="D83" s="22" t="n">
        <x:v>3</x:v>
      </x:c>
      <x:c r="E83" s="22" t="str">
        <x:v>Core</x:v>
      </x:c>
      <x:c r="F83" s="22" t="str">
        <x:v>Complete post-fall/near-fall review and update interventions.</x:v>
      </x:c>
      <x:c r="G83" s="22" t="str">
        <x:v>Frequent; high-risk periods</x:v>
      </x:c>
      <x:c r="H83" s="22" t="str">
        <x:v>Caregiver + nurse</x:v>
      </x:c>
      <x:c r="I83" s="22"/>
      <x:c r="J83" s="22" t="str">
        <x:v>Recurrent falls despite plan, new injury, significant decline or need for near-continuous supervision.</x:v>
      </x:c>
    </x:row>
    <x:row r="84" ht="38" customHeight="1">
      <x:c r="A84" s="22" t="str">
        <x:v>AS-03-3-X01</x:v>
      </x:c>
      <x:c r="B84" s="22" t="str">
        <x:v>AS-03</x:v>
      </x:c>
      <x:c r="C84" s="22" t="str">
        <x:v>Fall Risk</x:v>
      </x:c>
      <x:c r="D84" s="22" t="n">
        <x:v>3</x:v>
      </x:c>
      <x:c r="E84" s="22" t="str">
        <x:v>Condition-specific</x:v>
      </x:c>
      <x:c r="F84" s="22" t="str">
        <x:v>purposeful walking with supervision and safe route.</x:v>
      </x:c>
      <x:c r="G84" s="22" t="str">
        <x:v>Frequent; high-risk periods</x:v>
      </x:c>
      <x:c r="H84" s="22" t="str">
        <x:v>Caregiver + nurse</x:v>
      </x:c>
      <x:c r="I84" s="22" t="str">
        <x:v>Wandering/dementia</x:v>
      </x:c>
      <x:c r="J84" s="22" t="str">
        <x:v>Recurrent falls despite plan, new injury, significant decline or need for near-continuous supervision.</x:v>
      </x:c>
    </x:row>
    <x:row r="85" ht="38" customHeight="1">
      <x:c r="A85" s="22" t="str">
        <x:v>AS-03-3-X02</x:v>
      </x:c>
      <x:c r="B85" s="22" t="str">
        <x:v>AS-03</x:v>
      </x:c>
      <x:c r="C85" s="22" t="str">
        <x:v>Fall Risk</x:v>
      </x:c>
      <x:c r="D85" s="22" t="n">
        <x:v>3</x:v>
      </x:c>
      <x:c r="E85" s="22" t="str">
        <x:v>Condition-specific</x:v>
      </x:c>
      <x:c r="F85" s="22" t="str">
        <x:v>allow time for freezing/initiation and avoid rushing.</x:v>
      </x:c>
      <x:c r="G85" s="22" t="str">
        <x:v>Frequent; high-risk periods</x:v>
      </x:c>
      <x:c r="H85" s="22" t="str">
        <x:v>Caregiver + nurse</x:v>
      </x:c>
      <x:c r="I85" s="22" t="str">
        <x:v>Parkinsonism</x:v>
      </x:c>
      <x:c r="J85" s="22" t="str">
        <x:v>Recurrent falls despite plan, new injury, significant decline or need for near-continuous supervision.</x:v>
      </x:c>
    </x:row>
    <x:row r="86" ht="38" customHeight="1">
      <x:c r="A86" s="22" t="str">
        <x:v>AS-03-4-C01</x:v>
      </x:c>
      <x:c r="B86" s="22" t="str">
        <x:v>AS-03</x:v>
      </x:c>
      <x:c r="C86" s="22" t="str">
        <x:v>Fall Risk</x:v>
      </x:c>
      <x:c r="D86" s="22" t="n">
        <x:v>4</x:v>
      </x:c>
      <x:c r="E86" s="22" t="str">
        <x:v>Core</x:v>
      </x:c>
      <x:c r="F86" s="22" t="str">
        <x:v>Maintain intensive individualized fall-prevention plan using least restrictive measures.</x:v>
      </x:c>
      <x:c r="G86" s="22" t="str">
        <x:v>Very frequent / close supervision</x:v>
      </x:c>
      <x:c r="H86" s="22" t="str">
        <x:v>Caregiver + nurse</x:v>
      </x:c>
      <x:c r="I86" s="22"/>
      <x:c r="J86" s="22" t="str">
        <x:v>Any serious injury, repeated uncontrolled falls or safety need beyond service capability.</x:v>
      </x:c>
    </x:row>
    <x:row r="87" ht="38" customHeight="1">
      <x:c r="A87" s="22" t="str">
        <x:v>AS-03-4-C02</x:v>
      </x:c>
      <x:c r="B87" s="22" t="str">
        <x:v>AS-03</x:v>
      </x:c>
      <x:c r="C87" s="22" t="str">
        <x:v>Fall Risk</x:v>
      </x:c>
      <x:c r="D87" s="22" t="n">
        <x:v>4</x:v>
      </x:c>
      <x:c r="E87" s="22" t="str">
        <x:v>Core</x:v>
      </x:c>
      <x:c r="F87" s="22" t="str">
        <x:v>Provide close supervision during all high-risk mobility/transfers.</x:v>
      </x:c>
      <x:c r="G87" s="22" t="str">
        <x:v>Very frequent / close supervision</x:v>
      </x:c>
      <x:c r="H87" s="22" t="str">
        <x:v>Caregiver + nurse</x:v>
      </x:c>
      <x:c r="I87" s="22"/>
      <x:c r="J87" s="22" t="str">
        <x:v>Any serious injury, repeated uncontrolled falls or safety need beyond service capability.</x:v>
      </x:c>
    </x:row>
    <x:row r="88" ht="38" customHeight="1">
      <x:c r="A88" s="22" t="str">
        <x:v>AS-03-4-C03</x:v>
      </x:c>
      <x:c r="B88" s="22" t="str">
        <x:v>AS-03</x:v>
      </x:c>
      <x:c r="C88" s="22" t="str">
        <x:v>Fall Risk</x:v>
      </x:c>
      <x:c r="D88" s="22" t="n">
        <x:v>4</x:v>
      </x:c>
      <x:c r="E88" s="22" t="str">
        <x:v>Core</x:v>
      </x:c>
      <x:c r="F88" s="22" t="str">
        <x:v>Use team handoff of current triggers, safest techniques and recent events.</x:v>
      </x:c>
      <x:c r="G88" s="22" t="str">
        <x:v>Very frequent / close supervision</x:v>
      </x:c>
      <x:c r="H88" s="22" t="str">
        <x:v>Caregiver + nurse</x:v>
      </x:c>
      <x:c r="I88" s="22"/>
      <x:c r="J88" s="22" t="str">
        <x:v>Any serious injury, repeated uncontrolled falls or safety need beyond service capability.</x:v>
      </x:c>
    </x:row>
    <x:row r="89" ht="38" customHeight="1">
      <x:c r="A89" s="22" t="str">
        <x:v>AS-03-4-C04</x:v>
      </x:c>
      <x:c r="B89" s="22" t="str">
        <x:v>AS-03</x:v>
      </x:c>
      <x:c r="C89" s="22" t="str">
        <x:v>Fall Risk</x:v>
      </x:c>
      <x:c r="D89" s="22" t="n">
        <x:v>4</x:v>
      </x:c>
      <x:c r="E89" s="22" t="str">
        <x:v>Core</x:v>
      </x:c>
      <x:c r="F89" s="22" t="str">
        <x:v>Escalate promptly after falls, head impact, acute change or inability to maintain safety.</x:v>
      </x:c>
      <x:c r="G89" s="22" t="str">
        <x:v>Very frequent / close supervision</x:v>
      </x:c>
      <x:c r="H89" s="22" t="str">
        <x:v>Caregiver + nurse</x:v>
      </x:c>
      <x:c r="I89" s="22"/>
      <x:c r="J89" s="22" t="str">
        <x:v>Any serious injury, repeated uncontrolled falls or safety need beyond service capability.</x:v>
      </x:c>
    </x:row>
    <x:row r="90" ht="38" customHeight="1">
      <x:c r="A90" s="22" t="str">
        <x:v>AS-03-4-X01</x:v>
      </x:c>
      <x:c r="B90" s="22" t="str">
        <x:v>AS-03</x:v>
      </x:c>
      <x:c r="C90" s="22" t="str">
        <x:v>Fall Risk</x:v>
      </x:c>
      <x:c r="D90" s="22" t="n">
        <x:v>4</x:v>
      </x:c>
      <x:c r="E90" s="22" t="str">
        <x:v>Condition-specific</x:v>
      </x:c>
      <x:c r="F90" s="22" t="str">
        <x:v>structured supervised walking and environmental safeguards.</x:v>
      </x:c>
      <x:c r="G90" s="22" t="str">
        <x:v>Very frequent / close supervision</x:v>
      </x:c>
      <x:c r="H90" s="22" t="str">
        <x:v>Caregiver + nurse</x:v>
      </x:c>
      <x:c r="I90" s="22" t="str">
        <x:v>Severe dementia with unsafe mobility</x:v>
      </x:c>
      <x:c r="J90" s="22" t="str">
        <x:v>Any serious injury, repeated uncontrolled falls or safety need beyond service capability.</x:v>
      </x:c>
    </x:row>
    <x:row r="91" ht="38" customHeight="1">
      <x:c r="A91" s="22" t="str">
        <x:v>AS-03-4-X02</x:v>
      </x:c>
      <x:c r="B91" s="22" t="str">
        <x:v>AS-03</x:v>
      </x:c>
      <x:c r="C91" s="22" t="str">
        <x:v>Fall Risk</x:v>
      </x:c>
      <x:c r="D91" s="22" t="n">
        <x:v>4</x:v>
      </x:c>
      <x:c r="E91" s="22" t="str">
        <x:v>Condition-specific</x:v>
      </x:c>
      <x:c r="F91" s="22" t="str">
        <x:v>follow medical plan and emergency escalation criteria.</x:v>
      </x:c>
      <x:c r="G91" s="22" t="str">
        <x:v>Very frequent / close supervision</x:v>
      </x:c>
      <x:c r="H91" s="22" t="str">
        <x:v>Caregiver + nurse</x:v>
      </x:c>
      <x:c r="I91" s="22" t="str">
        <x:v>Recurrent syncope</x:v>
      </x:c>
      <x:c r="J91" s="22" t="str">
        <x:v>Any serious injury, repeated uncontrolled falls or safety need beyond service capability.</x:v>
      </x:c>
    </x:row>
    <x:row r="92" ht="38" customHeight="1">
      <x:c r="A92" s="22" t="str">
        <x:v>AS-04-0-C01</x:v>
      </x:c>
      <x:c r="B92" s="22" t="str">
        <x:v>AS-04</x:v>
      </x:c>
      <x:c r="C92" s="22" t="str">
        <x:v>Cognition / Self-Direction</x:v>
      </x:c>
      <x:c r="D92" s="22" t="n">
        <x:v>0</x:v>
      </x:c>
      <x:c r="E92" s="22" t="str">
        <x:v>Core</x:v>
      </x:c>
      <x:c r="F92" s="22" t="str">
        <x:v>Offer normal choices and involve resident directly in decisions.</x:v>
      </x:c>
      <x:c r="G92" s="22" t="str">
        <x:v>Routine</x:v>
      </x:c>
      <x:c r="H92" s="22" t="str">
        <x:v>Caregiver / care staff; nurse if acute change</x:v>
      </x:c>
      <x:c r="I92" s="22"/>
      <x:c r="J92" s="22" t="str">
        <x:v>Acute change in cognition, unsafe judgment or new difficulty self-directing care.</x:v>
      </x:c>
    </x:row>
    <x:row r="93" ht="38" customHeight="1">
      <x:c r="A93" s="22" t="str">
        <x:v>AS-04-0-C02</x:v>
      </x:c>
      <x:c r="B93" s="22" t="str">
        <x:v>AS-04</x:v>
      </x:c>
      <x:c r="C93" s="22" t="str">
        <x:v>Cognition / Self-Direction</x:v>
      </x:c>
      <x:c r="D93" s="22" t="n">
        <x:v>0</x:v>
      </x:c>
      <x:c r="E93" s="22" t="str">
        <x:v>Core</x:v>
      </x:c>
      <x:c r="F93" s="22" t="str">
        <x:v>Maintain preferred routine and access to calendar/clock as desired.</x:v>
      </x:c>
      <x:c r="G93" s="22" t="str">
        <x:v>Routine</x:v>
      </x:c>
      <x:c r="H93" s="22" t="str">
        <x:v>Caregiver / care staff; nurse if acute change</x:v>
      </x:c>
      <x:c r="I93" s="22"/>
      <x:c r="J93" s="22" t="str">
        <x:v>Acute change in cognition, unsafe judgment or new difficulty self-directing care.</x:v>
      </x:c>
    </x:row>
    <x:row r="94" ht="38" customHeight="1">
      <x:c r="A94" s="22" t="str">
        <x:v>AS-04-0-C03</x:v>
      </x:c>
      <x:c r="B94" s="22" t="str">
        <x:v>AS-04</x:v>
      </x:c>
      <x:c r="C94" s="22" t="str">
        <x:v>Cognition / Self-Direction</x:v>
      </x:c>
      <x:c r="D94" s="22" t="n">
        <x:v>0</x:v>
      </x:c>
      <x:c r="E94" s="22" t="str">
        <x:v>Core</x:v>
      </x:c>
      <x:c r="F94" s="22" t="str">
        <x:v>Communicate changes in schedule clearly.</x:v>
      </x:c>
      <x:c r="G94" s="22" t="str">
        <x:v>Routine</x:v>
      </x:c>
      <x:c r="H94" s="22" t="str">
        <x:v>Caregiver / care staff; nurse if acute change</x:v>
      </x:c>
      <x:c r="I94" s="22"/>
      <x:c r="J94" s="22" t="str">
        <x:v>Acute change in cognition, unsafe judgment or new difficulty self-directing care.</x:v>
      </x:c>
    </x:row>
    <x:row r="95" ht="38" customHeight="1">
      <x:c r="A95" s="22" t="str">
        <x:v>AS-04-0-C04</x:v>
      </x:c>
      <x:c r="B95" s="22" t="str">
        <x:v>AS-04</x:v>
      </x:c>
      <x:c r="C95" s="22" t="str">
        <x:v>Cognition / Self-Direction</x:v>
      </x:c>
      <x:c r="D95" s="22" t="n">
        <x:v>0</x:v>
      </x:c>
      <x:c r="E95" s="22" t="str">
        <x:v>Core</x:v>
      </x:c>
      <x:c r="F95" s="22" t="str">
        <x:v>Observe for acute confusion or new memory difficulty.</x:v>
      </x:c>
      <x:c r="G95" s="22" t="str">
        <x:v>Routine</x:v>
      </x:c>
      <x:c r="H95" s="22" t="str">
        <x:v>Caregiver / care staff; nurse if acute change</x:v>
      </x:c>
      <x:c r="I95" s="22"/>
      <x:c r="J95" s="22" t="str">
        <x:v>Acute change in cognition, unsafe judgment or new difficulty self-directing care.</x:v>
      </x:c>
    </x:row>
    <x:row r="96" ht="38" customHeight="1">
      <x:c r="A96" s="22" t="str">
        <x:v>AS-04-0-X01</x:v>
      </x:c>
      <x:c r="B96" s="22" t="str">
        <x:v>AS-04</x:v>
      </x:c>
      <x:c r="C96" s="22" t="str">
        <x:v>Cognition / Self-Direction</x:v>
      </x:c>
      <x:c r="D96" s="22" t="n">
        <x:v>0</x:v>
      </x:c>
      <x:c r="E96" s="22" t="str">
        <x:v>Condition-specific</x:v>
      </x:c>
      <x:c r="F96" s="22" t="str">
        <x:v>watch for new delirium/confusion from baseline.</x:v>
      </x:c>
      <x:c r="G96" s="22" t="str">
        <x:v>Routine</x:v>
      </x:c>
      <x:c r="H96" s="22" t="str">
        <x:v>Caregiver / care staff; nurse if acute change</x:v>
      </x:c>
      <x:c r="I96" s="22" t="str">
        <x:v>Hospital return</x:v>
      </x:c>
      <x:c r="J96" s="22" t="str">
        <x:v>Acute change in cognition, unsafe judgment or new difficulty self-directing care.</x:v>
      </x:c>
    </x:row>
    <x:row r="97" ht="38" customHeight="1">
      <x:c r="A97" s="22" t="str">
        <x:v>AS-04-0-X02</x:v>
      </x:c>
      <x:c r="B97" s="22" t="str">
        <x:v>AS-04</x:v>
      </x:c>
      <x:c r="C97" s="22" t="str">
        <x:v>Cognition / Self-Direction</x:v>
      </x:c>
      <x:c r="D97" s="22" t="n">
        <x:v>0</x:v>
      </x:c>
      <x:c r="E97" s="22" t="str">
        <x:v>Condition-specific</x:v>
      </x:c>
      <x:c r="F97" s="22" t="str">
        <x:v>ensure hearing aids are available before assuming confusion.</x:v>
      </x:c>
      <x:c r="G97" s="22" t="str">
        <x:v>Routine</x:v>
      </x:c>
      <x:c r="H97" s="22" t="str">
        <x:v>Caregiver / care staff; nurse if acute change</x:v>
      </x:c>
      <x:c r="I97" s="22" t="str">
        <x:v>Hearing loss</x:v>
      </x:c>
      <x:c r="J97" s="22" t="str">
        <x:v>Acute change in cognition, unsafe judgment or new difficulty self-directing care.</x:v>
      </x:c>
    </x:row>
    <x:row r="98" ht="38" customHeight="1">
      <x:c r="A98" s="22" t="str">
        <x:v>AS-04-1-C01</x:v>
      </x:c>
      <x:c r="B98" s="22" t="str">
        <x:v>AS-04</x:v>
      </x:c>
      <x:c r="C98" s="22" t="str">
        <x:v>Cognition / Self-Direction</x:v>
      </x:c>
      <x:c r="D98" s="22" t="n">
        <x:v>1</x:v>
      </x:c>
      <x:c r="E98" s="22" t="str">
        <x:v>Core</x:v>
      </x:c>
      <x:c r="F98" s="22" t="str">
        <x:v>Give occasional reminders for appointments, meals or daily routine.</x:v>
      </x:c>
      <x:c r="G98" s="22" t="str">
        <x:v>Occasional / as needed</x:v>
      </x:c>
      <x:c r="H98" s="22" t="str">
        <x:v>Caregiver / care staff; nurse if acute change</x:v>
      </x:c>
      <x:c r="I98" s="22"/>
      <x:c r="J98" s="22" t="str">
        <x:v>Regular reorientation becomes necessary, unsafe decisions increase or acute confusion appears.</x:v>
      </x:c>
    </x:row>
    <x:row r="99" ht="38" customHeight="1">
      <x:c r="A99" s="22" t="str">
        <x:v>AS-04-1-C02</x:v>
      </x:c>
      <x:c r="B99" s="22" t="str">
        <x:v>AS-04</x:v>
      </x:c>
      <x:c r="C99" s="22" t="str">
        <x:v>Cognition / Self-Direction</x:v>
      </x:c>
      <x:c r="D99" s="22" t="n">
        <x:v>1</x:v>
      </x:c>
      <x:c r="E99" s="22" t="str">
        <x:v>Core</x:v>
      </x:c>
      <x:c r="F99" s="22" t="str">
        <x:v>Use one-step cueing when resident loses track of a task.</x:v>
      </x:c>
      <x:c r="G99" s="22" t="str">
        <x:v>Occasional / as needed</x:v>
      </x:c>
      <x:c r="H99" s="22" t="str">
        <x:v>Caregiver / care staff; nurse if acute change</x:v>
      </x:c>
      <x:c r="I99" s="22"/>
      <x:c r="J99" s="22" t="str">
        <x:v>Regular reorientation becomes necessary, unsafe decisions increase or acute confusion appears.</x:v>
      </x:c>
    </x:row>
    <x:row r="100" ht="38" customHeight="1">
      <x:c r="A100" s="22" t="str">
        <x:v>AS-04-1-C03</x:v>
      </x:c>
      <x:c r="B100" s="22" t="str">
        <x:v>AS-04</x:v>
      </x:c>
      <x:c r="C100" s="22" t="str">
        <x:v>Cognition / Self-Direction</x:v>
      </x:c>
      <x:c r="D100" s="22" t="n">
        <x:v>1</x:v>
      </x:c>
      <x:c r="E100" s="22" t="str">
        <x:v>Core</x:v>
      </x:c>
      <x:c r="F100" s="22" t="str">
        <x:v>Allow extra processing time before repeating instructions.</x:v>
      </x:c>
      <x:c r="G100" s="22" t="str">
        <x:v>Occasional / as needed</x:v>
      </x:c>
      <x:c r="H100" s="22" t="str">
        <x:v>Caregiver / care staff; nurse if acute change</x:v>
      </x:c>
      <x:c r="I100" s="22"/>
      <x:c r="J100" s="22" t="str">
        <x:v>Regular reorientation becomes necessary, unsafe decisions increase or acute confusion appears.</x:v>
      </x:c>
    </x:row>
    <x:row r="101" ht="38" customHeight="1">
      <x:c r="A101" s="22" t="str">
        <x:v>AS-04-1-C04</x:v>
      </x:c>
      <x:c r="B101" s="22" t="str">
        <x:v>AS-04</x:v>
      </x:c>
      <x:c r="C101" s="22" t="str">
        <x:v>Cognition / Self-Direction</x:v>
      </x:c>
      <x:c r="D101" s="22" t="n">
        <x:v>1</x:v>
      </x:c>
      <x:c r="E101" s="22" t="str">
        <x:v>Core</x:v>
      </x:c>
      <x:c r="F101" s="22" t="str">
        <x:v>Document new or increasing cueing needs.</x:v>
      </x:c>
      <x:c r="G101" s="22" t="str">
        <x:v>Occasional / as needed</x:v>
      </x:c>
      <x:c r="H101" s="22" t="str">
        <x:v>Caregiver / care staff; nurse if acute change</x:v>
      </x:c>
      <x:c r="I101" s="22"/>
      <x:c r="J101" s="22" t="str">
        <x:v>Regular reorientation becomes necessary, unsafe decisions increase or acute confusion appears.</x:v>
      </x:c>
    </x:row>
    <x:row r="102" ht="38" customHeight="1">
      <x:c r="A102" s="22" t="str">
        <x:v>AS-04-1-X01</x:v>
      </x:c>
      <x:c r="B102" s="22" t="str">
        <x:v>AS-04</x:v>
      </x:c>
      <x:c r="C102" s="22" t="str">
        <x:v>Cognition / Self-Direction</x:v>
      </x:c>
      <x:c r="D102" s="22" t="n">
        <x:v>1</x:v>
      </x:c>
      <x:c r="E102" s="22" t="str">
        <x:v>Condition-specific</x:v>
      </x:c>
      <x:c r="F102" s="22" t="str">
        <x:v>use calendar, labels and consistent placement of items.</x:v>
      </x:c>
      <x:c r="G102" s="22" t="str">
        <x:v>Occasional / as needed</x:v>
      </x:c>
      <x:c r="H102" s="22" t="str">
        <x:v>Caregiver / care staff; nurse if acute change</x:v>
      </x:c>
      <x:c r="I102" s="22" t="str">
        <x:v>Mild cognitive impairment</x:v>
      </x:c>
      <x:c r="J102" s="22" t="str">
        <x:v>Regular reorientation becomes necessary, unsafe decisions increase or acute confusion appears.</x:v>
      </x:c>
    </x:row>
    <x:row r="103" ht="38" customHeight="1">
      <x:c r="A103" s="22" t="str">
        <x:v>AS-04-1-X02</x:v>
      </x:c>
      <x:c r="B103" s="22" t="str">
        <x:v>AS-04</x:v>
      </x:c>
      <x:c r="C103" s="22" t="str">
        <x:v>Cognition / Self-Direction</x:v>
      </x:c>
      <x:c r="D103" s="22" t="n">
        <x:v>1</x:v>
      </x:c>
      <x:c r="E103" s="22" t="str">
        <x:v>Condition-specific</x:v>
      </x:c>
      <x:c r="F103" s="22" t="str">
        <x:v>repeat calmly rather than challenge memory.</x:v>
      </x:c>
      <x:c r="G103" s="22" t="str">
        <x:v>Occasional / as needed</x:v>
      </x:c>
      <x:c r="H103" s="22" t="str">
        <x:v>Caregiver / care staff; nurse if acute change</x:v>
      </x:c>
      <x:c r="I103" s="22" t="str">
        <x:v>Early dementia</x:v>
      </x:c>
      <x:c r="J103" s="22" t="str">
        <x:v>Regular reorientation becomes necessary, unsafe decisions increase or acute confusion appears.</x:v>
      </x:c>
    </x:row>
    <x:row r="104" ht="38" customHeight="1">
      <x:c r="A104" s="22" t="str">
        <x:v>AS-04-2-C01</x:v>
      </x:c>
      <x:c r="B104" s="22" t="str">
        <x:v>AS-04</x:v>
      </x:c>
      <x:c r="C104" s="22" t="str">
        <x:v>Cognition / Self-Direction</x:v>
      </x:c>
      <x:c r="D104" s="22" t="n">
        <x:v>2</x:v>
      </x:c>
      <x:c r="E104" s="22" t="str">
        <x:v>Core</x:v>
      </x:c>
      <x:c r="F104" s="22" t="str">
        <x:v>Provide regular cueing/reorientation using familiar language and routines.</x:v>
      </x:c>
      <x:c r="G104" s="22" t="str">
        <x:v>Regular throughout day</x:v>
      </x:c>
      <x:c r="H104" s="22" t="str">
        <x:v>Caregiver / care staff; nurse if acute change</x:v>
      </x:c>
      <x:c r="I104" s="22"/>
      <x:c r="J104" s="22" t="str">
        <x:v>Substantial impairment across multiple daily decisions, wandering/unsafe behavior or acute change.</x:v>
      </x:c>
    </x:row>
    <x:row r="105" ht="38" customHeight="1">
      <x:c r="A105" s="22" t="str">
        <x:v>AS-04-2-C02</x:v>
      </x:c>
      <x:c r="B105" s="22" t="str">
        <x:v>AS-04</x:v>
      </x:c>
      <x:c r="C105" s="22" t="str">
        <x:v>Cognition / Self-Direction</x:v>
      </x:c>
      <x:c r="D105" s="22" t="n">
        <x:v>2</x:v>
      </x:c>
      <x:c r="E105" s="22" t="str">
        <x:v>Core</x:v>
      </x:c>
      <x:c r="F105" s="22" t="str">
        <x:v>Offer limited, simple choices to preserve decision-making.</x:v>
      </x:c>
      <x:c r="G105" s="22" t="str">
        <x:v>Regular throughout day</x:v>
      </x:c>
      <x:c r="H105" s="22" t="str">
        <x:v>Caregiver / care staff; nurse if acute change</x:v>
      </x:c>
      <x:c r="I105" s="22"/>
      <x:c r="J105" s="22" t="str">
        <x:v>Substantial impairment across multiple daily decisions, wandering/unsafe behavior or acute change.</x:v>
      </x:c>
    </x:row>
    <x:row r="106" ht="38" customHeight="1">
      <x:c r="A106" s="22" t="str">
        <x:v>AS-04-2-C03</x:v>
      </x:c>
      <x:c r="B106" s="22" t="str">
        <x:v>AS-04</x:v>
      </x:c>
      <x:c r="C106" s="22" t="str">
        <x:v>Cognition / Self-Direction</x:v>
      </x:c>
      <x:c r="D106" s="22" t="n">
        <x:v>2</x:v>
      </x:c>
      <x:c r="E106" s="22" t="str">
        <x:v>Core</x:v>
      </x:c>
      <x:c r="F106" s="22" t="str">
        <x:v>Supervise decisions involving safety, medication and high-risk activities as care plan indicates.</x:v>
      </x:c>
      <x:c r="G106" s="22" t="str">
        <x:v>Regular throughout day</x:v>
      </x:c>
      <x:c r="H106" s="22" t="str">
        <x:v>Caregiver / care staff; nurse if acute change</x:v>
      </x:c>
      <x:c r="I106" s="22"/>
      <x:c r="J106" s="22" t="str">
        <x:v>Substantial impairment across multiple daily decisions, wandering/unsafe behavior or acute change.</x:v>
      </x:c>
    </x:row>
    <x:row r="107" ht="38" customHeight="1">
      <x:c r="A107" s="22" t="str">
        <x:v>AS-04-2-C04</x:v>
      </x:c>
      <x:c r="B107" s="22" t="str">
        <x:v>AS-04</x:v>
      </x:c>
      <x:c r="C107" s="22" t="str">
        <x:v>Cognition / Self-Direction</x:v>
      </x:c>
      <x:c r="D107" s="22" t="n">
        <x:v>2</x:v>
      </x:c>
      <x:c r="E107" s="22" t="str">
        <x:v>Core</x:v>
      </x:c>
      <x:c r="F107" s="22" t="str">
        <x:v>Use consistent staff approaches and document effective cues.</x:v>
      </x:c>
      <x:c r="G107" s="22" t="str">
        <x:v>Regular throughout day</x:v>
      </x:c>
      <x:c r="H107" s="22" t="str">
        <x:v>Caregiver / care staff; nurse if acute change</x:v>
      </x:c>
      <x:c r="I107" s="22"/>
      <x:c r="J107" s="22" t="str">
        <x:v>Substantial impairment across multiple daily decisions, wandering/unsafe behavior or acute change.</x:v>
      </x:c>
    </x:row>
    <x:row r="108" ht="38" customHeight="1">
      <x:c r="A108" s="22" t="str">
        <x:v>AS-04-2-X01</x:v>
      </x:c>
      <x:c r="B108" s="22" t="str">
        <x:v>AS-04</x:v>
      </x:c>
      <x:c r="C108" s="22" t="str">
        <x:v>Cognition / Self-Direction</x:v>
      </x:c>
      <x:c r="D108" s="22" t="n">
        <x:v>2</x:v>
      </x:c>
      <x:c r="E108" s="22" t="str">
        <x:v>Condition-specific</x:v>
      </x:c>
      <x:c r="F108" s="22" t="str">
        <x:v>use validation/reassurance; avoid arguing over incorrect beliefs.</x:v>
      </x:c>
      <x:c r="G108" s="22" t="str">
        <x:v>Regular throughout day</x:v>
      </x:c>
      <x:c r="H108" s="22" t="str">
        <x:v>Caregiver / care staff; nurse if acute change</x:v>
      </x:c>
      <x:c r="I108" s="22" t="str">
        <x:v>Dementia</x:v>
      </x:c>
      <x:c r="J108" s="22" t="str">
        <x:v>Substantial impairment across multiple daily decisions, wandering/unsafe behavior or acute change.</x:v>
      </x:c>
    </x:row>
    <x:row r="109" ht="38" customHeight="1">
      <x:c r="A109" s="22" t="str">
        <x:v>AS-04-2-X02</x:v>
      </x:c>
      <x:c r="B109" s="22" t="str">
        <x:v>AS-04</x:v>
      </x:c>
      <x:c r="C109" s="22" t="str">
        <x:v>Cognition / Self-Direction</x:v>
      </x:c>
      <x:c r="D109" s="22" t="n">
        <x:v>2</x:v>
      </x:c>
      <x:c r="E109" s="22" t="str">
        <x:v>Condition-specific</x:v>
      </x:c>
      <x:c r="F109" s="22" t="str">
        <x:v>track sudden fluctuations and report promptly.</x:v>
      </x:c>
      <x:c r="G109" s="22" t="str">
        <x:v>Regular throughout day</x:v>
      </x:c>
      <x:c r="H109" s="22" t="str">
        <x:v>Caregiver / care staff; nurse if acute change</x:v>
      </x:c>
      <x:c r="I109" s="22" t="str">
        <x:v>Delirium risk</x:v>
      </x:c>
      <x:c r="J109" s="22" t="str">
        <x:v>Substantial impairment across multiple daily decisions, wandering/unsafe behavior or acute change.</x:v>
      </x:c>
    </x:row>
    <x:row r="110" ht="38" customHeight="1">
      <x:c r="A110" s="22" t="str">
        <x:v>AS-04-3-C01</x:v>
      </x:c>
      <x:c r="B110" s="22" t="str">
        <x:v>AS-04</x:v>
      </x:c>
      <x:c r="C110" s="22" t="str">
        <x:v>Cognition / Self-Direction</x:v>
      </x:c>
      <x:c r="D110" s="22" t="n">
        <x:v>3</x:v>
      </x:c>
      <x:c r="E110" s="22" t="str">
        <x:v>Core</x:v>
      </x:c>
      <x:c r="F110" s="22" t="str">
        <x:v>Use structured daily routine and repeated simple cues for most care activities.</x:v>
      </x:c>
      <x:c r="G110" s="22" t="str">
        <x:v>Frequent / most care interactions</x:v>
      </x:c>
      <x:c r="H110" s="22" t="str">
        <x:v>Caregiver / care staff; nurse if acute change</x:v>
      </x:c>
      <x:c r="I110" s="22"/>
      <x:c r="J110" s="22" t="str">
        <x:v>Inability to self-direct basic care, severe distress, unsafe behavior or sudden decline.</x:v>
      </x:c>
    </x:row>
    <x:row r="111" ht="38" customHeight="1">
      <x:c r="A111" s="22" t="str">
        <x:v>AS-04-3-C02</x:v>
      </x:c>
      <x:c r="B111" s="22" t="str">
        <x:v>AS-04</x:v>
      </x:c>
      <x:c r="C111" s="22" t="str">
        <x:v>Cognition / Self-Direction</x:v>
      </x:c>
      <x:c r="D111" s="22" t="n">
        <x:v>3</x:v>
      </x:c>
      <x:c r="E111" s="22" t="str">
        <x:v>Core</x:v>
      </x:c>
      <x:c r="F111" s="22" t="str">
        <x:v>Break tasks into one-step directions and demonstrate when helpful.</x:v>
      </x:c>
      <x:c r="G111" s="22" t="str">
        <x:v>Frequent / most care interactions</x:v>
      </x:c>
      <x:c r="H111" s="22" t="str">
        <x:v>Caregiver / care staff; nurse if acute change</x:v>
      </x:c>
      <x:c r="I111" s="22"/>
      <x:c r="J111" s="22" t="str">
        <x:v>Inability to self-direct basic care, severe distress, unsafe behavior or sudden decline.</x:v>
      </x:c>
    </x:row>
    <x:row r="112" ht="38" customHeight="1">
      <x:c r="A112" s="22" t="str">
        <x:v>AS-04-3-C03</x:v>
      </x:c>
      <x:c r="B112" s="22" t="str">
        <x:v>AS-04</x:v>
      </x:c>
      <x:c r="C112" s="22" t="str">
        <x:v>Cognition / Self-Direction</x:v>
      </x:c>
      <x:c r="D112" s="22" t="n">
        <x:v>3</x:v>
      </x:c>
      <x:c r="E112" s="22" t="str">
        <x:v>Core</x:v>
      </x:c>
      <x:c r="F112" s="22" t="str">
        <x:v>Anticipate needs when resident cannot reliably plan/sequence care.</x:v>
      </x:c>
      <x:c r="G112" s="22" t="str">
        <x:v>Frequent / most care interactions</x:v>
      </x:c>
      <x:c r="H112" s="22" t="str">
        <x:v>Caregiver / care staff; nurse if acute change</x:v>
      </x:c>
      <x:c r="I112" s="22"/>
      <x:c r="J112" s="22" t="str">
        <x:v>Inability to self-direct basic care, severe distress, unsafe behavior or sudden decline.</x:v>
      </x:c>
    </x:row>
    <x:row r="113" ht="38" customHeight="1">
      <x:c r="A113" s="22" t="str">
        <x:v>AS-04-3-C04</x:v>
      </x:c>
      <x:c r="B113" s="22" t="str">
        <x:v>AS-04</x:v>
      </x:c>
      <x:c r="C113" s="22" t="str">
        <x:v>Cognition / Self-Direction</x:v>
      </x:c>
      <x:c r="D113" s="22" t="n">
        <x:v>3</x:v>
      </x:c>
      <x:c r="E113" s="22" t="str">
        <x:v>Core</x:v>
      </x:c>
      <x:c r="F113" s="22" t="str">
        <x:v>Record behavior/cognition patterns that affect care delivery.</x:v>
      </x:c>
      <x:c r="G113" s="22" t="str">
        <x:v>Frequent / most care interactions</x:v>
      </x:c>
      <x:c r="H113" s="22" t="str">
        <x:v>Caregiver / care staff; nurse if acute change</x:v>
      </x:c>
      <x:c r="I113" s="22"/>
      <x:c r="J113" s="22" t="str">
        <x:v>Inability to self-direct basic care, severe distress, unsafe behavior or sudden decline.</x:v>
      </x:c>
    </x:row>
    <x:row r="114" ht="38" customHeight="1">
      <x:c r="A114" s="22" t="str">
        <x:v>AS-04-3-X01</x:v>
      </x:c>
      <x:c r="B114" s="22" t="str">
        <x:v>AS-04</x:v>
      </x:c>
      <x:c r="C114" s="22" t="str">
        <x:v>Cognition / Self-Direction</x:v>
      </x:c>
      <x:c r="D114" s="22" t="n">
        <x:v>3</x:v>
      </x:c>
      <x:c r="E114" s="22" t="str">
        <x:v>Condition-specific</x:v>
      </x:c>
      <x:c r="F114" s="22" t="str">
        <x:v>use familiar objects, names and consistent caregivers when possible.</x:v>
      </x:c>
      <x:c r="G114" s="22" t="str">
        <x:v>Frequent / most care interactions</x:v>
      </x:c>
      <x:c r="H114" s="22" t="str">
        <x:v>Caregiver / care staff; nurse if acute change</x:v>
      </x:c>
      <x:c r="I114" s="22" t="str">
        <x:v>Moderate-severe dementia</x:v>
      </x:c>
      <x:c r="J114" s="22" t="str">
        <x:v>Inability to self-direct basic care, severe distress, unsafe behavior or sudden decline.</x:v>
      </x:c>
    </x:row>
    <x:row r="115" ht="38" customHeight="1">
      <x:c r="A115" s="22" t="str">
        <x:v>AS-04-3-X02</x:v>
      </x:c>
      <x:c r="B115" s="22" t="str">
        <x:v>AS-04</x:v>
      </x:c>
      <x:c r="C115" s="22" t="str">
        <x:v>Cognition / Self-Direction</x:v>
      </x:c>
      <x:c r="D115" s="22" t="n">
        <x:v>3</x:v>
      </x:c>
      <x:c r="E115" s="22" t="str">
        <x:v>Condition-specific</x:v>
      </x:c>
      <x:c r="F115" s="22" t="str">
        <x:v>use gestures/pictures and yes/no choices.</x:v>
      </x:c>
      <x:c r="G115" s="22" t="str">
        <x:v>Frequent / most care interactions</x:v>
      </x:c>
      <x:c r="H115" s="22" t="str">
        <x:v>Caregiver / care staff; nurse if acute change</x:v>
      </x:c>
      <x:c r="I115" s="22" t="str">
        <x:v>Aphasia plus cognitive impairment</x:v>
      </x:c>
      <x:c r="J115" s="22" t="str">
        <x:v>Inability to self-direct basic care, severe distress, unsafe behavior or sudden decline.</x:v>
      </x:c>
    </x:row>
    <x:row r="116" ht="38" customHeight="1">
      <x:c r="A116" s="22" t="str">
        <x:v>AS-04-4-C01</x:v>
      </x:c>
      <x:c r="B116" s="22" t="str">
        <x:v>AS-04</x:v>
      </x:c>
      <x:c r="C116" s="22" t="str">
        <x:v>Cognition / Self-Direction</x:v>
      </x:c>
      <x:c r="D116" s="22" t="n">
        <x:v>4</x:v>
      </x:c>
      <x:c r="E116" s="22" t="str">
        <x:v>Core</x:v>
      </x:c>
      <x:c r="F116" s="22" t="str">
        <x:v>Provide pervasive support for daily decisions and care sequencing.</x:v>
      </x:c>
      <x:c r="G116" s="22" t="str">
        <x:v>Continuous across care day</x:v>
      </x:c>
      <x:c r="H116" s="22" t="str">
        <x:v>Caregiver / care staff; nurse if acute change</x:v>
      </x:c>
      <x:c r="I116" s="22"/>
      <x:c r="J116" s="22" t="str">
        <x:v>Acute change, inability to maintain safety/comfort or support need beyond service capability.</x:v>
      </x:c>
    </x:row>
    <x:row r="117" ht="38" customHeight="1">
      <x:c r="A117" s="22" t="str">
        <x:v>AS-04-4-C02</x:v>
      </x:c>
      <x:c r="B117" s="22" t="str">
        <x:v>AS-04</x:v>
      </x:c>
      <x:c r="C117" s="22" t="str">
        <x:v>Cognition / Self-Direction</x:v>
      </x:c>
      <x:c r="D117" s="22" t="n">
        <x:v>4</x:v>
      </x:c>
      <x:c r="E117" s="22" t="str">
        <x:v>Core</x:v>
      </x:c>
      <x:c r="F117" s="22" t="str">
        <x:v>Use simple language, non-verbal cues and consistent familiar routines.</x:v>
      </x:c>
      <x:c r="G117" s="22" t="str">
        <x:v>Continuous across care day</x:v>
      </x:c>
      <x:c r="H117" s="22" t="str">
        <x:v>Caregiver / care staff; nurse if acute change</x:v>
      </x:c>
      <x:c r="I117" s="22"/>
      <x:c r="J117" s="22" t="str">
        <x:v>Acute change, inability to maintain safety/comfort or support need beyond service capability.</x:v>
      </x:c>
    </x:row>
    <x:row r="118" ht="38" customHeight="1">
      <x:c r="A118" s="22" t="str">
        <x:v>AS-04-4-C03</x:v>
      </x:c>
      <x:c r="B118" s="22" t="str">
        <x:v>AS-04</x:v>
      </x:c>
      <x:c r="C118" s="22" t="str">
        <x:v>Cognition / Self-Direction</x:v>
      </x:c>
      <x:c r="D118" s="22" t="n">
        <x:v>4</x:v>
      </x:c>
      <x:c r="E118" s="22" t="str">
        <x:v>Core</x:v>
      </x:c>
      <x:c r="F118" s="22" t="str">
        <x:v>Anticipate basic needs while still offering simple choices and seeking assent.</x:v>
      </x:c>
      <x:c r="G118" s="22" t="str">
        <x:v>Continuous across care day</x:v>
      </x:c>
      <x:c r="H118" s="22" t="str">
        <x:v>Caregiver / care staff; nurse if acute change</x:v>
      </x:c>
      <x:c r="I118" s="22"/>
      <x:c r="J118" s="22" t="str">
        <x:v>Acute change, inability to maintain safety/comfort or support need beyond service capability.</x:v>
      </x:c>
    </x:row>
    <x:row r="119" ht="38" customHeight="1">
      <x:c r="A119" s="22" t="str">
        <x:v>AS-04-4-C04</x:v>
      </x:c>
      <x:c r="B119" s="22" t="str">
        <x:v>AS-04</x:v>
      </x:c>
      <x:c r="C119" s="22" t="str">
        <x:v>Cognition / Self-Direction</x:v>
      </x:c>
      <x:c r="D119" s="22" t="n">
        <x:v>4</x:v>
      </x:c>
      <x:c r="E119" s="22" t="str">
        <x:v>Core</x:v>
      </x:c>
      <x:c r="F119" s="22" t="str">
        <x:v>Monitor non-verbal indicators of pain, fear, hunger or toileting need.</x:v>
      </x:c>
      <x:c r="G119" s="22" t="str">
        <x:v>Continuous across care day</x:v>
      </x:c>
      <x:c r="H119" s="22" t="str">
        <x:v>Caregiver / care staff; nurse if acute change</x:v>
      </x:c>
      <x:c r="I119" s="22"/>
      <x:c r="J119" s="22" t="str">
        <x:v>Acute change, inability to maintain safety/comfort or support need beyond service capability.</x:v>
      </x:c>
    </x:row>
    <x:row r="120" ht="38" customHeight="1">
      <x:c r="A120" s="22" t="str">
        <x:v>AS-04-4-X01</x:v>
      </x:c>
      <x:c r="B120" s="22" t="str">
        <x:v>AS-04</x:v>
      </x:c>
      <x:c r="C120" s="22" t="str">
        <x:v>Cognition / Self-Direction</x:v>
      </x:c>
      <x:c r="D120" s="22" t="n">
        <x:v>4</x:v>
      </x:c>
      <x:c r="E120" s="22" t="str">
        <x:v>Condition-specific</x:v>
      </x:c>
      <x:c r="F120" s="22" t="str">
        <x:v>focus on comfort, familiarity and meaningful sensory engagement.</x:v>
      </x:c>
      <x:c r="G120" s="22" t="str">
        <x:v>Continuous across care day</x:v>
      </x:c>
      <x:c r="H120" s="22" t="str">
        <x:v>Caregiver / care staff; nurse if acute change</x:v>
      </x:c>
      <x:c r="I120" s="22" t="str">
        <x:v>Advanced dementia</x:v>
      </x:c>
      <x:c r="J120" s="22" t="str">
        <x:v>Acute change, inability to maintain safety/comfort or support need beyond service capability.</x:v>
      </x:c>
    </x:row>
    <x:row r="121" ht="38" customHeight="1">
      <x:c r="A121" s="22" t="str">
        <x:v>AS-04-4-X02</x:v>
      </x:c>
      <x:c r="B121" s="22" t="str">
        <x:v>AS-04</x:v>
      </x:c>
      <x:c r="C121" s="22" t="str">
        <x:v>Cognition / Self-Direction</x:v>
      </x:c>
      <x:c r="D121" s="22" t="n">
        <x:v>4</x:v>
      </x:c>
      <x:c r="E121" s="22" t="str">
        <x:v>Condition-specific</x:v>
      </x:c>
      <x:c r="F121" s="22" t="str">
        <x:v>treat sudden change as clinical concern, not baseline behavior.</x:v>
      </x:c>
      <x:c r="G121" s="22" t="str">
        <x:v>Continuous across care day</x:v>
      </x:c>
      <x:c r="H121" s="22" t="str">
        <x:v>Caregiver / care staff; nurse if acute change</x:v>
      </x:c>
      <x:c r="I121" s="22" t="str">
        <x:v>Delirium superimposed on dementia</x:v>
      </x:c>
      <x:c r="J121" s="22" t="str">
        <x:v>Acute change, inability to maintain safety/comfort or support need beyond service capability.</x:v>
      </x:c>
    </x:row>
    <x:row r="122" ht="38" customHeight="1">
      <x:c r="A122" s="22" t="str">
        <x:v>AS-05-0-C01</x:v>
      </x:c>
      <x:c r="B122" s="22" t="str">
        <x:v>AS-05</x:v>
      </x:c>
      <x:c r="C122" s="22" t="str">
        <x:v>Behavior / BPSD</x:v>
      </x:c>
      <x:c r="D122" s="22" t="n">
        <x:v>0</x:v>
      </x:c>
      <x:c r="E122" s="22" t="str">
        <x:v>Core</x:v>
      </x:c>
      <x:c r="F122" s="22" t="str">
        <x:v>Support preferred social activities, hobbies and family contact.</x:v>
      </x:c>
      <x:c r="G122" s="22" t="str">
        <x:v>Routine</x:v>
      </x:c>
      <x:c r="H122" s="22" t="str">
        <x:v>Caregiver + nurse; clinician as indicated</x:v>
      </x:c>
      <x:c r="I122" s="22"/>
      <x:c r="J122" s="22" t="str">
        <x:v>Persistent mood/behavior change, safety concern or marked withdrawal.</x:v>
      </x:c>
    </x:row>
    <x:row r="123" ht="38" customHeight="1">
      <x:c r="A123" s="22" t="str">
        <x:v>AS-05-0-C02</x:v>
      </x:c>
      <x:c r="B123" s="22" t="str">
        <x:v>AS-05</x:v>
      </x:c>
      <x:c r="C123" s="22" t="str">
        <x:v>Behavior / BPSD</x:v>
      </x:c>
      <x:c r="D123" s="22" t="n">
        <x:v>0</x:v>
      </x:c>
      <x:c r="E123" s="22" t="str">
        <x:v>Core</x:v>
      </x:c>
      <x:c r="F123" s="22" t="str">
        <x:v>Respect privacy, coping style and desired level of engagement.</x:v>
      </x:c>
      <x:c r="G123" s="22" t="str">
        <x:v>Routine</x:v>
      </x:c>
      <x:c r="H123" s="22" t="str">
        <x:v>Caregiver + nurse; clinician as indicated</x:v>
      </x:c>
      <x:c r="I123" s="22"/>
      <x:c r="J123" s="22" t="str">
        <x:v>Persistent mood/behavior change, safety concern or marked withdrawal.</x:v>
      </x:c>
    </x:row>
    <x:row r="124" ht="38" customHeight="1">
      <x:c r="A124" s="22" t="str">
        <x:v>AS-05-0-C03</x:v>
      </x:c>
      <x:c r="B124" s="22" t="str">
        <x:v>AS-05</x:v>
      </x:c>
      <x:c r="C124" s="22" t="str">
        <x:v>Behavior / BPSD</x:v>
      </x:c>
      <x:c r="D124" s="22" t="n">
        <x:v>0</x:v>
      </x:c>
      <x:c r="E124" s="22" t="str">
        <x:v>Core</x:v>
      </x:c>
      <x:c r="F124" s="22" t="str">
        <x:v>Offer normal choices without forcing participation.</x:v>
      </x:c>
      <x:c r="G124" s="22" t="str">
        <x:v>Routine</x:v>
      </x:c>
      <x:c r="H124" s="22" t="str">
        <x:v>Caregiver + nurse; clinician as indicated</x:v>
      </x:c>
      <x:c r="I124" s="22"/>
      <x:c r="J124" s="22" t="str">
        <x:v>Persistent mood/behavior change, safety concern or marked withdrawal.</x:v>
      </x:c>
    </x:row>
    <x:row r="125" ht="38" customHeight="1">
      <x:c r="A125" s="22" t="str">
        <x:v>AS-05-0-C04</x:v>
      </x:c>
      <x:c r="B125" s="22" t="str">
        <x:v>AS-05</x:v>
      </x:c>
      <x:c r="C125" s="22" t="str">
        <x:v>Behavior / BPSD</x:v>
      </x:c>
      <x:c r="D125" s="22" t="n">
        <x:v>0</x:v>
      </x:c>
      <x:c r="E125" s="22" t="str">
        <x:v>Core</x:v>
      </x:c>
      <x:c r="F125" s="22" t="str">
        <x:v>Observe for new anxiety, withdrawal, agitation or mood change.</x:v>
      </x:c>
      <x:c r="G125" s="22" t="str">
        <x:v>Routine</x:v>
      </x:c>
      <x:c r="H125" s="22" t="str">
        <x:v>Caregiver + nurse; clinician as indicated</x:v>
      </x:c>
      <x:c r="I125" s="22"/>
      <x:c r="J125" s="22" t="str">
        <x:v>Persistent mood/behavior change, safety concern or marked withdrawal.</x:v>
      </x:c>
    </x:row>
    <x:row r="126" ht="38" customHeight="1">
      <x:c r="A126" s="22" t="str">
        <x:v>AS-05-0-X01</x:v>
      </x:c>
      <x:c r="B126" s="22" t="str">
        <x:v>AS-05</x:v>
      </x:c>
      <x:c r="C126" s="22" t="str">
        <x:v>Behavior / BPSD</x:v>
      </x:c>
      <x:c r="D126" s="22" t="n">
        <x:v>0</x:v>
      </x:c>
      <x:c r="E126" s="22" t="str">
        <x:v>Condition-specific</x:v>
      </x:c>
      <x:c r="F126" s="22" t="str">
        <x:v>offer preferred support and monitor adjustment.</x:v>
      </x:c>
      <x:c r="G126" s="22" t="str">
        <x:v>Routine</x:v>
      </x:c>
      <x:c r="H126" s="22" t="str">
        <x:v>Caregiver + nurse; clinician as indicated</x:v>
      </x:c>
      <x:c r="I126" s="22" t="str">
        <x:v>Bereavement</x:v>
      </x:c>
      <x:c r="J126" s="22" t="str">
        <x:v>Persistent mood/behavior change, safety concern or marked withdrawal.</x:v>
      </x:c>
    </x:row>
    <x:row r="127" ht="38" customHeight="1">
      <x:c r="A127" s="22" t="str">
        <x:v>AS-05-0-X02</x:v>
      </x:c>
      <x:c r="B127" s="22" t="str">
        <x:v>AS-05</x:v>
      </x:c>
      <x:c r="C127" s="22" t="str">
        <x:v>Behavior / BPSD</x:v>
      </x:c>
      <x:c r="D127" s="22" t="n">
        <x:v>0</x:v>
      </x:c>
      <x:c r="E127" s="22" t="str">
        <x:v>Condition-specific</x:v>
      </x:c>
      <x:c r="F127" s="22" t="str">
        <x:v>note loss of interest or functional decline.</x:v>
      </x:c>
      <x:c r="G127" s="22" t="str">
        <x:v>Routine</x:v>
      </x:c>
      <x:c r="H127" s="22" t="str">
        <x:v>Caregiver + nurse; clinician as indicated</x:v>
      </x:c>
      <x:c r="I127" s="22" t="str">
        <x:v>Depression history</x:v>
      </x:c>
      <x:c r="J127" s="22" t="str">
        <x:v>Persistent mood/behavior change, safety concern or marked withdrawal.</x:v>
      </x:c>
    </x:row>
    <x:row r="128" ht="38" customHeight="1">
      <x:c r="A128" s="22" t="str">
        <x:v>AS-05-1-C01</x:v>
      </x:c>
      <x:c r="B128" s="22" t="str">
        <x:v>AS-05</x:v>
      </x:c>
      <x:c r="C128" s="22" t="str">
        <x:v>Behavior / BPSD</x:v>
      </x:c>
      <x:c r="D128" s="22" t="n">
        <x:v>1</x:v>
      </x:c>
      <x:c r="E128" s="22" t="str">
        <x:v>Core</x:v>
      </x:c>
      <x:c r="F128" s="22" t="str">
        <x:v>Provide occasional reassurance/redirection during distress.</x:v>
      </x:c>
      <x:c r="G128" s="22" t="str">
        <x:v>As needed</x:v>
      </x:c>
      <x:c r="H128" s="22" t="str">
        <x:v>Caregiver + nurse; clinician as indicated</x:v>
      </x:c>
      <x:c r="I128" s="22"/>
      <x:c r="J128" s="22" t="str">
        <x:v>Episodes become regular, interfere with care or involve aggression/self-harm risk.</x:v>
      </x:c>
    </x:row>
    <x:row r="129" ht="38" customHeight="1">
      <x:c r="A129" s="22" t="str">
        <x:v>AS-05-1-C02</x:v>
      </x:c>
      <x:c r="B129" s="22" t="str">
        <x:v>AS-05</x:v>
      </x:c>
      <x:c r="C129" s="22" t="str">
        <x:v>Behavior / BPSD</x:v>
      </x:c>
      <x:c r="D129" s="22" t="n">
        <x:v>1</x:v>
      </x:c>
      <x:c r="E129" s="22" t="str">
        <x:v>Core</x:v>
      </x:c>
      <x:c r="F129" s="22" t="str">
        <x:v>Use known calming activities and preferred communication style.</x:v>
      </x:c>
      <x:c r="G129" s="22" t="str">
        <x:v>As needed</x:v>
      </x:c>
      <x:c r="H129" s="22" t="str">
        <x:v>Caregiver + nurse; clinician as indicated</x:v>
      </x:c>
      <x:c r="I129" s="22"/>
      <x:c r="J129" s="22" t="str">
        <x:v>Episodes become regular, interfere with care or involve aggression/self-harm risk.</x:v>
      </x:c>
    </x:row>
    <x:row r="130" ht="38" customHeight="1">
      <x:c r="A130" s="22" t="str">
        <x:v>AS-05-1-C03</x:v>
      </x:c>
      <x:c r="B130" s="22" t="str">
        <x:v>AS-05</x:v>
      </x:c>
      <x:c r="C130" s="22" t="str">
        <x:v>Behavior / BPSD</x:v>
      </x:c>
      <x:c r="D130" s="22" t="n">
        <x:v>1</x:v>
      </x:c>
      <x:c r="E130" s="22" t="str">
        <x:v>Core</x:v>
      </x:c>
      <x:c r="F130" s="22" t="str">
        <x:v>Identify and document triggers when episodes occur.</x:v>
      </x:c>
      <x:c r="G130" s="22" t="str">
        <x:v>As needed</x:v>
      </x:c>
      <x:c r="H130" s="22" t="str">
        <x:v>Caregiver + nurse; clinician as indicated</x:v>
      </x:c>
      <x:c r="I130" s="22"/>
      <x:c r="J130" s="22" t="str">
        <x:v>Episodes become regular, interfere with care or involve aggression/self-harm risk.</x:v>
      </x:c>
    </x:row>
    <x:row r="131" ht="38" customHeight="1">
      <x:c r="A131" s="22" t="str">
        <x:v>AS-05-1-C04</x:v>
      </x:c>
      <x:c r="B131" s="22" t="str">
        <x:v>AS-05</x:v>
      </x:c>
      <x:c r="C131" s="22" t="str">
        <x:v>Behavior / BPSD</x:v>
      </x:c>
      <x:c r="D131" s="22" t="n">
        <x:v>1</x:v>
      </x:c>
      <x:c r="E131" s="22" t="str">
        <x:v>Core</x:v>
      </x:c>
      <x:c r="F131" s="22" t="str">
        <x:v>Return resident to preferred activity/routine after distress resolves.</x:v>
      </x:c>
      <x:c r="G131" s="22" t="str">
        <x:v>As needed</x:v>
      </x:c>
      <x:c r="H131" s="22" t="str">
        <x:v>Caregiver + nurse; clinician as indicated</x:v>
      </x:c>
      <x:c r="I131" s="22"/>
      <x:c r="J131" s="22" t="str">
        <x:v>Episodes become regular, interfere with care or involve aggression/self-harm risk.</x:v>
      </x:c>
    </x:row>
    <x:row r="132" ht="38" customHeight="1">
      <x:c r="A132" s="22" t="str">
        <x:v>AS-05-1-X01</x:v>
      </x:c>
      <x:c r="B132" s="22" t="str">
        <x:v>AS-05</x:v>
      </x:c>
      <x:c r="C132" s="22" t="str">
        <x:v>Behavior / BPSD</x:v>
      </x:c>
      <x:c r="D132" s="22" t="n">
        <x:v>1</x:v>
      </x:c>
      <x:c r="E132" s="22" t="str">
        <x:v>Condition-specific</x:v>
      </x:c>
      <x:c r="F132" s="22" t="str">
        <x:v>redirect rather than correct repetitive questioning.</x:v>
      </x:c>
      <x:c r="G132" s="22" t="str">
        <x:v>As needed</x:v>
      </x:c>
      <x:c r="H132" s="22" t="str">
        <x:v>Caregiver + nurse; clinician as indicated</x:v>
      </x:c>
      <x:c r="I132" s="22" t="str">
        <x:v>Early dementia</x:v>
      </x:c>
      <x:c r="J132" s="22" t="str">
        <x:v>Episodes become regular, interfere with care or involve aggression/self-harm risk.</x:v>
      </x:c>
    </x:row>
    <x:row r="133" ht="38" customHeight="1">
      <x:c r="A133" s="22" t="str">
        <x:v>AS-05-1-X02</x:v>
      </x:c>
      <x:c r="B133" s="22" t="str">
        <x:v>AS-05</x:v>
      </x:c>
      <x:c r="C133" s="22" t="str">
        <x:v>Behavior / BPSD</x:v>
      </x:c>
      <x:c r="D133" s="22" t="n">
        <x:v>1</x:v>
      </x:c>
      <x:c r="E133" s="22" t="str">
        <x:v>Condition-specific</x:v>
      </x:c>
      <x:c r="F133" s="22" t="str">
        <x:v>use predictable explanations before care/transport.</x:v>
      </x:c>
      <x:c r="G133" s="22" t="str">
        <x:v>As needed</x:v>
      </x:c>
      <x:c r="H133" s="22" t="str">
        <x:v>Caregiver + nurse; clinician as indicated</x:v>
      </x:c>
      <x:c r="I133" s="22" t="str">
        <x:v>Anxiety</x:v>
      </x:c>
      <x:c r="J133" s="22" t="str">
        <x:v>Episodes become regular, interfere with care or involve aggression/self-harm risk.</x:v>
      </x:c>
    </x:row>
    <x:row r="134" ht="38" customHeight="1">
      <x:c r="A134" s="22" t="str">
        <x:v>AS-05-2-C01</x:v>
      </x:c>
      <x:c r="B134" s="22" t="str">
        <x:v>AS-05</x:v>
      </x:c>
      <x:c r="C134" s="22" t="str">
        <x:v>Behavior / BPSD</x:v>
      </x:c>
      <x:c r="D134" s="22" t="n">
        <x:v>2</x:v>
      </x:c>
      <x:c r="E134" s="22" t="str">
        <x:v>Core</x:v>
      </x:c>
      <x:c r="F134" s="22" t="str">
        <x:v>Maintain predictable routine and proactively reduce known triggers.</x:v>
      </x:c>
      <x:c r="G134" s="22" t="str">
        <x:v>Regular; at known trigger times</x:v>
      </x:c>
      <x:c r="H134" s="22" t="str">
        <x:v>Caregiver + nurse; clinician as indicated</x:v>
      </x:c>
      <x:c r="I134" s="22"/>
      <x:c r="J134" s="22" t="str">
        <x:v>Increasing frequency/intensity, staff safety concern, care refusal with health impact or acute behavior change.</x:v>
      </x:c>
    </x:row>
    <x:row r="135" ht="38" customHeight="1">
      <x:c r="A135" s="22" t="str">
        <x:v>AS-05-2-C02</x:v>
      </x:c>
      <x:c r="B135" s="22" t="str">
        <x:v>AS-05</x:v>
      </x:c>
      <x:c r="C135" s="22" t="str">
        <x:v>Behavior / BPSD</x:v>
      </x:c>
      <x:c r="D135" s="22" t="n">
        <x:v>2</x:v>
      </x:c>
      <x:c r="E135" s="22" t="str">
        <x:v>Core</x:v>
      </x:c>
      <x:c r="F135" s="22" t="str">
        <x:v>Use individualized reassurance, redirection and de-escalation plan.</x:v>
      </x:c>
      <x:c r="G135" s="22" t="str">
        <x:v>Regular; at known trigger times</x:v>
      </x:c>
      <x:c r="H135" s="22" t="str">
        <x:v>Caregiver + nurse; clinician as indicated</x:v>
      </x:c>
      <x:c r="I135" s="22"/>
      <x:c r="J135" s="22" t="str">
        <x:v>Increasing frequency/intensity, staff safety concern, care refusal with health impact or acute behavior change.</x:v>
      </x:c>
    </x:row>
    <x:row r="136" ht="38" customHeight="1">
      <x:c r="A136" s="22" t="str">
        <x:v>AS-05-2-C03</x:v>
      </x:c>
      <x:c r="B136" s="22" t="str">
        <x:v>AS-05</x:v>
      </x:c>
      <x:c r="C136" s="22" t="str">
        <x:v>Behavior / BPSD</x:v>
      </x:c>
      <x:c r="D136" s="22" t="n">
        <x:v>2</x:v>
      </x:c>
      <x:c r="E136" s="22" t="str">
        <x:v>Core</x:v>
      </x:c>
      <x:c r="F136" s="22" t="str">
        <x:v>Offer meaningful activity matched to ability and preference.</x:v>
      </x:c>
      <x:c r="G136" s="22" t="str">
        <x:v>Regular; at known trigger times</x:v>
      </x:c>
      <x:c r="H136" s="22" t="str">
        <x:v>Caregiver + nurse; clinician as indicated</x:v>
      </x:c>
      <x:c r="I136" s="22"/>
      <x:c r="J136" s="22" t="str">
        <x:v>Increasing frequency/intensity, staff safety concern, care refusal with health impact or acute behavior change.</x:v>
      </x:c>
    </x:row>
    <x:row r="137" ht="38" customHeight="1">
      <x:c r="A137" s="22" t="str">
        <x:v>AS-05-2-C04</x:v>
      </x:c>
      <x:c r="B137" s="22" t="str">
        <x:v>AS-05</x:v>
      </x:c>
      <x:c r="C137" s="22" t="str">
        <x:v>Behavior / BPSD</x:v>
      </x:c>
      <x:c r="D137" s="22" t="n">
        <x:v>2</x:v>
      </x:c>
      <x:c r="E137" s="22" t="str">
        <x:v>Core</x:v>
      </x:c>
      <x:c r="F137" s="22" t="str">
        <x:v>Document antecedent, behavior, response and effective intervention.</x:v>
      </x:c>
      <x:c r="G137" s="22" t="str">
        <x:v>Regular; at known trigger times</x:v>
      </x:c>
      <x:c r="H137" s="22" t="str">
        <x:v>Caregiver + nurse; clinician as indicated</x:v>
      </x:c>
      <x:c r="I137" s="22"/>
      <x:c r="J137" s="22" t="str">
        <x:v>Increasing frequency/intensity, staff safety concern, care refusal with health impact or acute behavior change.</x:v>
      </x:c>
    </x:row>
    <x:row r="138" ht="38" customHeight="1">
      <x:c r="A138" s="22" t="str">
        <x:v>AS-05-2-X01</x:v>
      </x:c>
      <x:c r="B138" s="22" t="str">
        <x:v>AS-05</x:v>
      </x:c>
      <x:c r="C138" s="22" t="str">
        <x:v>Behavior / BPSD</x:v>
      </x:c>
      <x:c r="D138" s="22" t="n">
        <x:v>2</x:v>
      </x:c>
      <x:c r="E138" s="22" t="str">
        <x:v>Condition-specific</x:v>
      </x:c>
      <x:c r="F138" s="22" t="str">
        <x:v>check pain, hunger, toileting, overstimulation and fatigue first.</x:v>
      </x:c>
      <x:c r="G138" s="22" t="str">
        <x:v>Regular; at known trigger times</x:v>
      </x:c>
      <x:c r="H138" s="22" t="str">
        <x:v>Caregiver + nurse; clinician as indicated</x:v>
      </x:c>
      <x:c r="I138" s="22" t="str">
        <x:v>Dementia agitation</x:v>
      </x:c>
      <x:c r="J138" s="22" t="str">
        <x:v>Increasing frequency/intensity, staff safety concern, care refusal with health impact or acute behavior change.</x:v>
      </x:c>
    </x:row>
    <x:row r="139" ht="38" customHeight="1">
      <x:c r="A139" s="22" t="str">
        <x:v>AS-05-2-X02</x:v>
      </x:c>
      <x:c r="B139" s="22" t="str">
        <x:v>AS-05</x:v>
      </x:c>
      <x:c r="C139" s="22" t="str">
        <x:v>Behavior / BPSD</x:v>
      </x:c>
      <x:c r="D139" s="22" t="n">
        <x:v>2</x:v>
      </x:c>
      <x:c r="E139" s="22" t="str">
        <x:v>Condition-specific</x:v>
      </x:c>
      <x:c r="F139" s="22" t="str">
        <x:v>reduce evening stimulation and keep familiar routine.</x:v>
      </x:c>
      <x:c r="G139" s="22" t="str">
        <x:v>Regular; at known trigger times</x:v>
      </x:c>
      <x:c r="H139" s="22" t="str">
        <x:v>Caregiver + nurse; clinician as indicated</x:v>
      </x:c>
      <x:c r="I139" s="22" t="str">
        <x:v>Sundowning</x:v>
      </x:c>
      <x:c r="J139" s="22" t="str">
        <x:v>Increasing frequency/intensity, staff safety concern, care refusal with health impact or acute behavior change.</x:v>
      </x:c>
    </x:row>
    <x:row r="140" ht="38" customHeight="1">
      <x:c r="A140" s="22" t="str">
        <x:v>AS-05-3-C01</x:v>
      </x:c>
      <x:c r="B140" s="22" t="str">
        <x:v>AS-05</x:v>
      </x:c>
      <x:c r="C140" s="22" t="str">
        <x:v>Behavior / BPSD</x:v>
      </x:c>
      <x:c r="D140" s="22" t="n">
        <x:v>3</x:v>
      </x:c>
      <x:c r="E140" s="22" t="str">
        <x:v>Core</x:v>
      </x:c>
      <x:c r="F140" s="22" t="str">
        <x:v>Provide frequent individualized de-escalation/redirection and close follow-through.</x:v>
      </x:c>
      <x:c r="G140" s="22" t="str">
        <x:v>Frequent; structured behavior plan</x:v>
      </x:c>
      <x:c r="H140" s="22" t="str">
        <x:v>Caregiver + nurse; clinician as indicated</x:v>
      </x:c>
      <x:c r="I140" s="22"/>
      <x:c r="J140" s="22" t="str">
        <x:v>Injury risk, uncontrolled aggression, rapid behavior change or need for continuous one-to-one support.</x:v>
      </x:c>
    </x:row>
    <x:row r="141" ht="38" customHeight="1">
      <x:c r="A141" s="22" t="str">
        <x:v>AS-05-3-C02</x:v>
      </x:c>
      <x:c r="B141" s="22" t="str">
        <x:v>AS-05</x:v>
      </x:c>
      <x:c r="C141" s="22" t="str">
        <x:v>Behavior / BPSD</x:v>
      </x:c>
      <x:c r="D141" s="22" t="n">
        <x:v>3</x:v>
      </x:c>
      <x:c r="E141" s="22" t="str">
        <x:v>Core</x:v>
      </x:c>
      <x:c r="F141" s="22" t="str">
        <x:v>Assign consistent approaches and communicate triggers/effective responses at handoff.</x:v>
      </x:c>
      <x:c r="G141" s="22" t="str">
        <x:v>Frequent; structured behavior plan</x:v>
      </x:c>
      <x:c r="H141" s="22" t="str">
        <x:v>Caregiver + nurse; clinician as indicated</x:v>
      </x:c>
      <x:c r="I141" s="22"/>
      <x:c r="J141" s="22" t="str">
        <x:v>Injury risk, uncontrolled aggression, rapid behavior change or need for continuous one-to-one support.</x:v>
      </x:c>
    </x:row>
    <x:row r="142" ht="38" customHeight="1">
      <x:c r="A142" s="22" t="str">
        <x:v>AS-05-3-C03</x:v>
      </x:c>
      <x:c r="B142" s="22" t="str">
        <x:v>AS-05</x:v>
      </x:c>
      <x:c r="C142" s="22" t="str">
        <x:v>Behavior / BPSD</x:v>
      </x:c>
      <x:c r="D142" s="22" t="n">
        <x:v>3</x:v>
      </x:c>
      <x:c r="E142" s="22" t="str">
        <x:v>Core</x:v>
      </x:c>
      <x:c r="F142" s="22" t="str">
        <x:v>Modify environment/activity promptly when distress escalates.</x:v>
      </x:c>
      <x:c r="G142" s="22" t="str">
        <x:v>Frequent; structured behavior plan</x:v>
      </x:c>
      <x:c r="H142" s="22" t="str">
        <x:v>Caregiver + nurse; clinician as indicated</x:v>
      </x:c>
      <x:c r="I142" s="22"/>
      <x:c r="J142" s="22" t="str">
        <x:v>Injury risk, uncontrolled aggression, rapid behavior change or need for continuous one-to-one support.</x:v>
      </x:c>
    </x:row>
    <x:row r="143" ht="38" customHeight="1">
      <x:c r="A143" s="22" t="str">
        <x:v>AS-05-3-C04</x:v>
      </x:c>
      <x:c r="B143" s="22" t="str">
        <x:v>AS-05</x:v>
      </x:c>
      <x:c r="C143" s="22" t="str">
        <x:v>Behavior / BPSD</x:v>
      </x:c>
      <x:c r="D143" s="22" t="n">
        <x:v>3</x:v>
      </x:c>
      <x:c r="E143" s="22" t="str">
        <x:v>Core</x:v>
      </x:c>
      <x:c r="F143" s="22" t="str">
        <x:v>Coordinate clinical review for new or worsening behavior.</x:v>
      </x:c>
      <x:c r="G143" s="22" t="str">
        <x:v>Frequent; structured behavior plan</x:v>
      </x:c>
      <x:c r="H143" s="22" t="str">
        <x:v>Caregiver + nurse; clinician as indicated</x:v>
      </x:c>
      <x:c r="I143" s="22"/>
      <x:c r="J143" s="22" t="str">
        <x:v>Injury risk, uncontrolled aggression, rapid behavior change or need for continuous one-to-one support.</x:v>
      </x:c>
    </x:row>
    <x:row r="144" ht="38" customHeight="1">
      <x:c r="A144" s="22" t="str">
        <x:v>AS-05-3-X01</x:v>
      </x:c>
      <x:c r="B144" s="22" t="str">
        <x:v>AS-05</x:v>
      </x:c>
      <x:c r="C144" s="22" t="str">
        <x:v>Behavior / BPSD</x:v>
      </x:c>
      <x:c r="D144" s="22" t="n">
        <x:v>3</x:v>
      </x:c>
      <x:c r="E144" s="22" t="str">
        <x:v>Condition-specific</x:v>
      </x:c>
      <x:c r="F144" s="22" t="str">
        <x:v>offer supervised purposeful walking and meaningful destination/activity.</x:v>
      </x:c>
      <x:c r="G144" s="22" t="str">
        <x:v>Frequent; structured behavior plan</x:v>
      </x:c>
      <x:c r="H144" s="22" t="str">
        <x:v>Caregiver + nurse; clinician as indicated</x:v>
      </x:c>
      <x:c r="I144" s="22" t="str">
        <x:v>Exit-seeking</x:v>
      </x:c>
      <x:c r="J144" s="22" t="str">
        <x:v>Injury risk, uncontrolled aggression, rapid behavior change or need for continuous one-to-one support.</x:v>
      </x:c>
    </x:row>
    <x:row r="145" ht="38" customHeight="1">
      <x:c r="A145" s="22" t="str">
        <x:v>AS-05-3-X02</x:v>
      </x:c>
      <x:c r="B145" s="22" t="str">
        <x:v>AS-05</x:v>
      </x:c>
      <x:c r="C145" s="22" t="str">
        <x:v>Behavior / BPSD</x:v>
      </x:c>
      <x:c r="D145" s="22" t="n">
        <x:v>3</x:v>
      </x:c>
      <x:c r="E145" s="22" t="str">
        <x:v>Condition-specific</x:v>
      </x:c>
      <x:c r="F145" s="22" t="str">
        <x:v>maintain space, calm tone, remove triggers; do not confront.</x:v>
      </x:c>
      <x:c r="G145" s="22" t="str">
        <x:v>Frequent; structured behavior plan</x:v>
      </x:c>
      <x:c r="H145" s="22" t="str">
        <x:v>Caregiver + nurse; clinician as indicated</x:v>
      </x:c>
      <x:c r="I145" s="22" t="str">
        <x:v>Verbal/physical aggression</x:v>
      </x:c>
      <x:c r="J145" s="22" t="str">
        <x:v>Injury risk, uncontrolled aggression, rapid behavior change or need for continuous one-to-one support.</x:v>
      </x:c>
    </x:row>
    <x:row r="146" ht="38" customHeight="1">
      <x:c r="A146" s="22" t="str">
        <x:v>AS-05-4-C01</x:v>
      </x:c>
      <x:c r="B146" s="22" t="str">
        <x:v>AS-05</x:v>
      </x:c>
      <x:c r="C146" s="22" t="str">
        <x:v>Behavior / BPSD</x:v>
      </x:c>
      <x:c r="D146" s="22" t="n">
        <x:v>4</x:v>
      </x:c>
      <x:c r="E146" s="22" t="str">
        <x:v>Core</x:v>
      </x:c>
      <x:c r="F146" s="22" t="str">
        <x:v>Implement intensive person-centered behavior support plan using least restrictive approaches.</x:v>
      </x:c>
      <x:c r="G146" s="22" t="str">
        <x:v>Very frequent / intensive</x:v>
      </x:c>
      <x:c r="H146" s="22" t="str">
        <x:v>Caregiver + nurse; clinician as indicated</x:v>
      </x:c>
      <x:c r="I146" s="22"/>
      <x:c r="J146" s="22" t="str">
        <x:v>Imminent harm, unmanageable distress or behavior needs beyond service capability.</x:v>
      </x:c>
    </x:row>
    <x:row r="147" ht="38" customHeight="1">
      <x:c r="A147" s="22" t="str">
        <x:v>AS-05-4-C02</x:v>
      </x:c>
      <x:c r="B147" s="22" t="str">
        <x:v>AS-05</x:v>
      </x:c>
      <x:c r="C147" s="22" t="str">
        <x:v>Behavior / BPSD</x:v>
      </x:c>
      <x:c r="D147" s="22" t="n">
        <x:v>4</x:v>
      </x:c>
      <x:c r="E147" s="22" t="str">
        <x:v>Core</x:v>
      </x:c>
      <x:c r="F147" s="22" t="str">
        <x:v>Maintain high consistency of routine, staffing approach and environment.</x:v>
      </x:c>
      <x:c r="G147" s="22" t="str">
        <x:v>Very frequent / intensive</x:v>
      </x:c>
      <x:c r="H147" s="22" t="str">
        <x:v>Caregiver + nurse; clinician as indicated</x:v>
      </x:c>
      <x:c r="I147" s="22"/>
      <x:c r="J147" s="22" t="str">
        <x:v>Imminent harm, unmanageable distress or behavior needs beyond service capability.</x:v>
      </x:c>
    </x:row>
    <x:row r="148" ht="38" customHeight="1">
      <x:c r="A148" s="22" t="str">
        <x:v>AS-05-4-C03</x:v>
      </x:c>
      <x:c r="B148" s="22" t="str">
        <x:v>AS-05</x:v>
      </x:c>
      <x:c r="C148" s="22" t="str">
        <x:v>Behavior / BPSD</x:v>
      </x:c>
      <x:c r="D148" s="22" t="n">
        <x:v>4</x:v>
      </x:c>
      <x:c r="E148" s="22" t="str">
        <x:v>Core</x:v>
      </x:c>
      <x:c r="F148" s="22" t="str">
        <x:v>Use proactive comfort checks and individualized calming/sensory strategies.</x:v>
      </x:c>
      <x:c r="G148" s="22" t="str">
        <x:v>Very frequent / intensive</x:v>
      </x:c>
      <x:c r="H148" s="22" t="str">
        <x:v>Caregiver + nurse; clinician as indicated</x:v>
      </x:c>
      <x:c r="I148" s="22"/>
      <x:c r="J148" s="22" t="str">
        <x:v>Imminent harm, unmanageable distress or behavior needs beyond service capability.</x:v>
      </x:c>
    </x:row>
    <x:row r="149" ht="38" customHeight="1">
      <x:c r="A149" s="22" t="str">
        <x:v>AS-05-4-C04</x:v>
      </x:c>
      <x:c r="B149" s="22" t="str">
        <x:v>AS-05</x:v>
      </x:c>
      <x:c r="C149" s="22" t="str">
        <x:v>Behavior / BPSD</x:v>
      </x:c>
      <x:c r="D149" s="22" t="n">
        <x:v>4</x:v>
      </x:c>
      <x:c r="E149" s="22" t="str">
        <x:v>Core</x:v>
      </x:c>
      <x:c r="F149" s="22" t="str">
        <x:v>Escalate urgently when behavior suggests pain, delirium, medication effect or imminent harm.</x:v>
      </x:c>
      <x:c r="G149" s="22" t="str">
        <x:v>Very frequent / intensive</x:v>
      </x:c>
      <x:c r="H149" s="22" t="str">
        <x:v>Caregiver + nurse; clinician as indicated</x:v>
      </x:c>
      <x:c r="I149" s="22"/>
      <x:c r="J149" s="22" t="str">
        <x:v>Imminent harm, unmanageable distress or behavior needs beyond service capability.</x:v>
      </x:c>
    </x:row>
    <x:row r="150" ht="38" customHeight="1">
      <x:c r="A150" s="22" t="str">
        <x:v>AS-05-4-X01</x:v>
      </x:c>
      <x:c r="B150" s="22" t="str">
        <x:v>AS-05</x:v>
      </x:c>
      <x:c r="C150" s="22" t="str">
        <x:v>Behavior / BPSD</x:v>
      </x:c>
      <x:c r="D150" s="22" t="n">
        <x:v>4</x:v>
      </x:c>
      <x:c r="E150" s="22" t="str">
        <x:v>Condition-specific</x:v>
      </x:c>
      <x:c r="F150" s="22" t="str">
        <x:v>use comfort-focused sensory activity and non-verbal reassurance.</x:v>
      </x:c>
      <x:c r="G150" s="22" t="str">
        <x:v>Very frequent / intensive</x:v>
      </x:c>
      <x:c r="H150" s="22" t="str">
        <x:v>Caregiver + nurse; clinician as indicated</x:v>
      </x:c>
      <x:c r="I150" s="22" t="str">
        <x:v>Severe dementia</x:v>
      </x:c>
      <x:c r="J150" s="22" t="str">
        <x:v>Imminent harm, unmanageable distress or behavior needs beyond service capability.</x:v>
      </x:c>
    </x:row>
    <x:row r="151" ht="38" customHeight="1">
      <x:c r="A151" s="22" t="str">
        <x:v>AS-05-4-X02</x:v>
      </x:c>
      <x:c r="B151" s="22" t="str">
        <x:v>AS-05</x:v>
      </x:c>
      <x:c r="C151" s="22" t="str">
        <x:v>Behavior / BPSD</x:v>
      </x:c>
      <x:c r="D151" s="22" t="n">
        <x:v>4</x:v>
      </x:c>
      <x:c r="E151" s="22" t="str">
        <x:v>Condition-specific</x:v>
      </x:c>
      <x:c r="F151" s="22" t="str">
        <x:v>coordinate multidisciplinary/medical review; do not rely solely on restraint or sedation.</x:v>
      </x:c>
      <x:c r="G151" s="22" t="str">
        <x:v>Very frequent / intensive</x:v>
      </x:c>
      <x:c r="H151" s="22" t="str">
        <x:v>Caregiver + nurse; clinician as indicated</x:v>
      </x:c>
      <x:c r="I151" s="22" t="str">
        <x:v>Persistent agitation</x:v>
      </x:c>
      <x:c r="J151" s="22" t="str">
        <x:v>Imminent harm, unmanageable distress or behavior needs beyond service capability.</x:v>
      </x:c>
    </x:row>
    <x:row r="152" ht="38" customHeight="1">
      <x:c r="A152" s="22" t="str">
        <x:v>AS-06-0-C01</x:v>
      </x:c>
      <x:c r="B152" s="22" t="str">
        <x:v>AS-06</x:v>
      </x:c>
      <x:c r="C152" s="22" t="str">
        <x:v>Clinical Monitoring / Condition Management</x:v>
      </x:c>
      <x:c r="D152" s="22" t="n">
        <x:v>0</x:v>
      </x:c>
      <x:c r="E152" s="22" t="str">
        <x:v>Core</x:v>
      </x:c>
      <x:c r="F152" s="22" t="str">
        <x:v>Perform routine wellness observation during normal care.</x:v>
      </x:c>
      <x:c r="G152" s="22" t="str">
        <x:v>Routine wellness checks</x:v>
      </x:c>
      <x:c r="H152" s="22" t="str">
        <x:v>Nurse-led; caregiver observations</x:v>
      </x:c>
      <x:c r="I152" s="22"/>
      <x:c r="J152" s="22" t="str">
        <x:v>New symptoms, abnormal ordered readings or change in function/mental status.</x:v>
      </x:c>
    </x:row>
    <x:row r="153" ht="38" customHeight="1">
      <x:c r="A153" s="22" t="str">
        <x:v>AS-06-0-C02</x:v>
      </x:c>
      <x:c r="B153" s="22" t="str">
        <x:v>AS-06</x:v>
      </x:c>
      <x:c r="C153" s="22" t="str">
        <x:v>Clinical Monitoring / Condition Management</x:v>
      </x:c>
      <x:c r="D153" s="22" t="n">
        <x:v>0</x:v>
      </x:c>
      <x:c r="E153" s="22" t="str">
        <x:v>Core</x:v>
      </x:c>
      <x:c r="F153" s="22" t="str">
        <x:v>Encourage usual hydration, nutrition, activity and rest.</x:v>
      </x:c>
      <x:c r="G153" s="22" t="str">
        <x:v>Routine wellness checks</x:v>
      </x:c>
      <x:c r="H153" s="22" t="str">
        <x:v>Nurse-led; caregiver observations</x:v>
      </x:c>
      <x:c r="I153" s="22"/>
      <x:c r="J153" s="22" t="str">
        <x:v>New symptoms, abnormal ordered readings or change in function/mental status.</x:v>
      </x:c>
    </x:row>
    <x:row r="154" ht="38" customHeight="1">
      <x:c r="A154" s="22" t="str">
        <x:v>AS-06-0-C03</x:v>
      </x:c>
      <x:c r="B154" s="22" t="str">
        <x:v>AS-06</x:v>
      </x:c>
      <x:c r="C154" s="22" t="str">
        <x:v>Clinical Monitoring / Condition Management</x:v>
      </x:c>
      <x:c r="D154" s="22" t="n">
        <x:v>0</x:v>
      </x:c>
      <x:c r="E154" s="22" t="str">
        <x:v>Core</x:v>
      </x:c>
      <x:c r="F154" s="22" t="str">
        <x:v>Record significant change from baseline.</x:v>
      </x:c>
      <x:c r="G154" s="22" t="str">
        <x:v>Routine wellness checks</x:v>
      </x:c>
      <x:c r="H154" s="22" t="str">
        <x:v>Nurse-led; caregiver observations</x:v>
      </x:c>
      <x:c r="I154" s="22"/>
      <x:c r="J154" s="22" t="str">
        <x:v>New symptoms, abnormal ordered readings or change in function/mental status.</x:v>
      </x:c>
    </x:row>
    <x:row r="155" ht="38" customHeight="1">
      <x:c r="A155" s="22" t="str">
        <x:v>AS-06-0-C04</x:v>
      </x:c>
      <x:c r="B155" s="22" t="str">
        <x:v>AS-06</x:v>
      </x:c>
      <x:c r="C155" s="22" t="str">
        <x:v>Clinical Monitoring / Condition Management</x:v>
      </x:c>
      <x:c r="D155" s="22" t="n">
        <x:v>0</x:v>
      </x:c>
      <x:c r="E155" s="22" t="str">
        <x:v>Core</x:v>
      </x:c>
      <x:c r="F155" s="22" t="str">
        <x:v>Follow routine preventive/medical appointments as scheduled.</x:v>
      </x:c>
      <x:c r="G155" s="22" t="str">
        <x:v>Routine wellness checks</x:v>
      </x:c>
      <x:c r="H155" s="22" t="str">
        <x:v>Nurse-led; caregiver observations</x:v>
      </x:c>
      <x:c r="I155" s="22"/>
      <x:c r="J155" s="22" t="str">
        <x:v>New symptoms, abnormal ordered readings or change in function/mental status.</x:v>
      </x:c>
    </x:row>
    <x:row r="156" ht="38" customHeight="1">
      <x:c r="A156" s="22" t="str">
        <x:v>AS-06-0-X01</x:v>
      </x:c>
      <x:c r="B156" s="22" t="str">
        <x:v>AS-06</x:v>
      </x:c>
      <x:c r="C156" s="22" t="str">
        <x:v>Clinical Monitoring / Condition Management</x:v>
      </x:c>
      <x:c r="D156" s="22" t="n">
        <x:v>0</x:v>
      </x:c>
      <x:c r="E156" s="22" t="str">
        <x:v>Condition-specific</x:v>
      </x:c>
      <x:c r="F156" s="22" t="str">
        <x:v>no extra checks beyond ordered/routine plan.</x:v>
      </x:c>
      <x:c r="G156" s="22" t="str">
        <x:v>Routine wellness checks</x:v>
      </x:c>
      <x:c r="H156" s="22" t="str">
        <x:v>Nurse-led; caregiver observations</x:v>
      </x:c>
      <x:c r="I156" s="22" t="str">
        <x:v>Stable hypertension</x:v>
      </x:c>
      <x:c r="J156" s="22" t="str">
        <x:v>New symptoms, abnormal ordered readings or change in function/mental status.</x:v>
      </x:c>
    </x:row>
    <x:row r="157" ht="38" customHeight="1">
      <x:c r="A157" s="22" t="str">
        <x:v>AS-06-0-X02</x:v>
      </x:c>
      <x:c r="B157" s="22" t="str">
        <x:v>AS-06</x:v>
      </x:c>
      <x:c r="C157" s="22" t="str">
        <x:v>Clinical Monitoring / Condition Management</x:v>
      </x:c>
      <x:c r="D157" s="22" t="n">
        <x:v>0</x:v>
      </x:c>
      <x:c r="E157" s="22" t="str">
        <x:v>Condition-specific</x:v>
      </x:c>
      <x:c r="F157" s="22" t="str">
        <x:v>reinforce general healthy routine.</x:v>
      </x:c>
      <x:c r="G157" s="22" t="str">
        <x:v>Routine wellness checks</x:v>
      </x:c>
      <x:c r="H157" s="22" t="str">
        <x:v>Nurse-led; caregiver observations</x:v>
      </x:c>
      <x:c r="I157" s="22" t="str">
        <x:v>Stable diabetes without monitoring needs</x:v>
      </x:c>
      <x:c r="J157" s="22" t="str">
        <x:v>New symptoms, abnormal ordered readings or change in function/mental status.</x:v>
      </x:c>
    </x:row>
    <x:row r="158" ht="38" customHeight="1">
      <x:c r="A158" s="22" t="str">
        <x:v>AS-06-1-C01</x:v>
      </x:c>
      <x:c r="B158" s="22" t="str">
        <x:v>AS-06</x:v>
      </x:c>
      <x:c r="C158" s="22" t="str">
        <x:v>Clinical Monitoring / Condition Management</x:v>
      </x:c>
      <x:c r="D158" s="22" t="n">
        <x:v>1</x:v>
      </x:c>
      <x:c r="E158" s="22" t="str">
        <x:v>Core</x:v>
      </x:c>
      <x:c r="F158" s="22" t="str">
        <x:v>Complete limited scheduled monitoring for the identified stable condition.</x:v>
      </x:c>
      <x:c r="G158" s="22" t="str">
        <x:v>Scheduled, usually limited</x:v>
      </x:c>
      <x:c r="H158" s="22" t="str">
        <x:v>Nurse-led; caregiver observations</x:v>
      </x:c>
      <x:c r="I158" s="22"/>
      <x:c r="J158" s="22" t="str">
        <x:v>Repeated abnormal findings, new symptoms or need for more frequent monitoring.</x:v>
      </x:c>
    </x:row>
    <x:row r="159" ht="38" customHeight="1">
      <x:c r="A159" s="22" t="str">
        <x:v>AS-06-1-C02</x:v>
      </x:c>
      <x:c r="B159" s="22" t="str">
        <x:v>AS-06</x:v>
      </x:c>
      <x:c r="C159" s="22" t="str">
        <x:v>Clinical Monitoring / Condition Management</x:v>
      </x:c>
      <x:c r="D159" s="22" t="n">
        <x:v>1</x:v>
      </x:c>
      <x:c r="E159" s="22" t="str">
        <x:v>Core</x:v>
      </x:c>
      <x:c r="F159" s="22" t="str">
        <x:v>Record ordered measurements and symptoms in the designated record.</x:v>
      </x:c>
      <x:c r="G159" s="22" t="str">
        <x:v>Scheduled, usually limited</x:v>
      </x:c>
      <x:c r="H159" s="22" t="str">
        <x:v>Nurse-led; caregiver observations</x:v>
      </x:c>
      <x:c r="I159" s="22"/>
      <x:c r="J159" s="22" t="str">
        <x:v>Repeated abnormal findings, new symptoms or need for more frequent monitoring.</x:v>
      </x:c>
    </x:row>
    <x:row r="160" ht="38" customHeight="1">
      <x:c r="A160" s="22" t="str">
        <x:v>AS-06-1-C03</x:v>
      </x:c>
      <x:c r="B160" s="22" t="str">
        <x:v>AS-06</x:v>
      </x:c>
      <x:c r="C160" s="22" t="str">
        <x:v>Clinical Monitoring / Condition Management</x:v>
      </x:c>
      <x:c r="D160" s="22" t="n">
        <x:v>1</x:v>
      </x:c>
      <x:c r="E160" s="22" t="str">
        <x:v>Core</x:v>
      </x:c>
      <x:c r="F160" s="22" t="str">
        <x:v>Reinforce condition-specific self-management instructions within care scope.</x:v>
      </x:c>
      <x:c r="G160" s="22" t="str">
        <x:v>Scheduled, usually limited</x:v>
      </x:c>
      <x:c r="H160" s="22" t="str">
        <x:v>Nurse-led; caregiver observations</x:v>
      </x:c>
      <x:c r="I160" s="22"/>
      <x:c r="J160" s="22" t="str">
        <x:v>Repeated abnormal findings, new symptoms or need for more frequent monitoring.</x:v>
      </x:c>
    </x:row>
    <x:row r="161" ht="38" customHeight="1">
      <x:c r="A161" s="22" t="str">
        <x:v>AS-06-1-C04</x:v>
      </x:c>
      <x:c r="B161" s="22" t="str">
        <x:v>AS-06</x:v>
      </x:c>
      <x:c r="C161" s="22" t="str">
        <x:v>Clinical Monitoring / Condition Management</x:v>
      </x:c>
      <x:c r="D161" s="22" t="n">
        <x:v>1</x:v>
      </x:c>
      <x:c r="E161" s="22" t="str">
        <x:v>Core</x:v>
      </x:c>
      <x:c r="F161" s="22" t="str">
        <x:v>Notify nurse/provider of readings/symptoms outside ordered parameters.</x:v>
      </x:c>
      <x:c r="G161" s="22" t="str">
        <x:v>Scheduled, usually limited</x:v>
      </x:c>
      <x:c r="H161" s="22" t="str">
        <x:v>Nurse-led; caregiver observations</x:v>
      </x:c>
      <x:c r="I161" s="22"/>
      <x:c r="J161" s="22" t="str">
        <x:v>Repeated abnormal findings, new symptoms or need for more frequent monitoring.</x:v>
      </x:c>
    </x:row>
    <x:row r="162" ht="38" customHeight="1">
      <x:c r="A162" s="22" t="str">
        <x:v>AS-06-1-X01</x:v>
      </x:c>
      <x:c r="B162" s="22" t="str">
        <x:v>AS-06</x:v>
      </x:c>
      <x:c r="C162" s="22" t="str">
        <x:v>Clinical Monitoring / Condition Management</x:v>
      </x:c>
      <x:c r="D162" s="22" t="n">
        <x:v>1</x:v>
      </x:c>
      <x:c r="E162" s="22" t="str">
        <x:v>Condition-specific</x:v>
      </x:c>
      <x:c r="F162" s="22" t="str">
        <x:v>BP checks at ordered frequency; note dizziness/headache.</x:v>
      </x:c>
      <x:c r="G162" s="22" t="str">
        <x:v>Scheduled, usually limited</x:v>
      </x:c>
      <x:c r="H162" s="22" t="str">
        <x:v>Nurse-led; caregiver observations</x:v>
      </x:c>
      <x:c r="I162" s="22" t="str">
        <x:v>Hypertension</x:v>
      </x:c>
      <x:c r="J162" s="22" t="str">
        <x:v>Repeated abnormal findings, new symptoms or need for more frequent monitoring.</x:v>
      </x:c>
    </x:row>
    <x:row r="163" ht="38" customHeight="1">
      <x:c r="A163" s="22" t="str">
        <x:v>AS-06-1-X02</x:v>
      </x:c>
      <x:c r="B163" s="22" t="str">
        <x:v>AS-06</x:v>
      </x:c>
      <x:c r="C163" s="22" t="str">
        <x:v>Clinical Monitoring / Condition Management</x:v>
      </x:c>
      <x:c r="D163" s="22" t="n">
        <x:v>1</x:v>
      </x:c>
      <x:c r="E163" s="22" t="str">
        <x:v>Condition-specific</x:v>
      </x:c>
      <x:c r="F163" s="22" t="str">
        <x:v>monitor hydration/edema only as directed; avoid unapproved diet/fluid restrictions.</x:v>
      </x:c>
      <x:c r="G163" s="22" t="str">
        <x:v>Scheduled, usually limited</x:v>
      </x:c>
      <x:c r="H163" s="22" t="str">
        <x:v>Nurse-led; caregiver observations</x:v>
      </x:c>
      <x:c r="I163" s="22" t="str">
        <x:v>Stable CKD history</x:v>
      </x:c>
      <x:c r="J163" s="22" t="str">
        <x:v>Repeated abnormal findings, new symptoms or need for more frequent monitoring.</x:v>
      </x:c>
    </x:row>
    <x:row r="164" ht="38" customHeight="1">
      <x:c r="A164" s="22" t="str">
        <x:v>AS-06-2-C01</x:v>
      </x:c>
      <x:c r="B164" s="22" t="str">
        <x:v>AS-06</x:v>
      </x:c>
      <x:c r="C164" s="22" t="str">
        <x:v>Clinical Monitoring / Condition Management</x:v>
      </x:c>
      <x:c r="D164" s="22" t="n">
        <x:v>2</x:v>
      </x:c>
      <x:c r="E164" s="22" t="str">
        <x:v>Core</x:v>
      </x:c>
      <x:c r="F164" s="22" t="str">
        <x:v>Carry out regular structured monitoring for one or more chronic conditions.</x:v>
      </x:c>
      <x:c r="G164" s="22" t="str">
        <x:v>Regular structured schedule</x:v>
      </x:c>
      <x:c r="H164" s="22" t="str">
        <x:v>Nurse-led; caregiver observations</x:v>
      </x:c>
      <x:c r="I164" s="22"/>
      <x:c r="J164" s="22" t="str">
        <x:v>Persistent abnormal readings, acute symptoms, rapid weight change, reduced intake/urine or functional decline.</x:v>
      </x:c>
    </x:row>
    <x:row r="165" ht="38" customHeight="1">
      <x:c r="A165" s="22" t="str">
        <x:v>AS-06-2-C02</x:v>
      </x:c>
      <x:c r="B165" s="22" t="str">
        <x:v>AS-06</x:v>
      </x:c>
      <x:c r="C165" s="22" t="str">
        <x:v>Clinical Monitoring / Condition Management</x:v>
      </x:c>
      <x:c r="D165" s="22" t="n">
        <x:v>2</x:v>
      </x:c>
      <x:c r="E165" s="22" t="str">
        <x:v>Core</x:v>
      </x:c>
      <x:c r="F165" s="22" t="str">
        <x:v>Trend ordered readings, symptoms, weight or intake where applicable.</x:v>
      </x:c>
      <x:c r="G165" s="22" t="str">
        <x:v>Regular structured schedule</x:v>
      </x:c>
      <x:c r="H165" s="22" t="str">
        <x:v>Nurse-led; caregiver observations</x:v>
      </x:c>
      <x:c r="I165" s="22"/>
      <x:c r="J165" s="22" t="str">
        <x:v>Persistent abnormal readings, acute symptoms, rapid weight change, reduced intake/urine or functional decline.</x:v>
      </x:c>
    </x:row>
    <x:row r="166" ht="38" customHeight="1">
      <x:c r="A166" s="22" t="str">
        <x:v>AS-06-2-C03</x:v>
      </x:c>
      <x:c r="B166" s="22" t="str">
        <x:v>AS-06</x:v>
      </x:c>
      <x:c r="C166" s="22" t="str">
        <x:v>Clinical Monitoring / Condition Management</x:v>
      </x:c>
      <x:c r="D166" s="22" t="n">
        <x:v>2</x:v>
      </x:c>
      <x:c r="E166" s="22" t="str">
        <x:v>Core</x:v>
      </x:c>
      <x:c r="F166" s="22" t="str">
        <x:v>Coordinate appointments/labs and ensure results/orders are communicated.</x:v>
      </x:c>
      <x:c r="G166" s="22" t="str">
        <x:v>Regular structured schedule</x:v>
      </x:c>
      <x:c r="H166" s="22" t="str">
        <x:v>Nurse-led; caregiver observations</x:v>
      </x:c>
      <x:c r="I166" s="22"/>
      <x:c r="J166" s="22" t="str">
        <x:v>Persistent abnormal readings, acute symptoms, rapid weight change, reduced intake/urine or functional decline.</x:v>
      </x:c>
    </x:row>
    <x:row r="167" ht="38" customHeight="1">
      <x:c r="A167" s="22" t="str">
        <x:v>AS-06-2-C04</x:v>
      </x:c>
      <x:c r="B167" s="22" t="str">
        <x:v>AS-06</x:v>
      </x:c>
      <x:c r="C167" s="22" t="str">
        <x:v>Clinical Monitoring / Condition Management</x:v>
      </x:c>
      <x:c r="D167" s="22" t="n">
        <x:v>2</x:v>
      </x:c>
      <x:c r="E167" s="22" t="str">
        <x:v>Core</x:v>
      </x:c>
      <x:c r="F167" s="22" t="str">
        <x:v>Escalate early changes before they become acute.</x:v>
      </x:c>
      <x:c r="G167" s="22" t="str">
        <x:v>Regular structured schedule</x:v>
      </x:c>
      <x:c r="H167" s="22" t="str">
        <x:v>Nurse-led; caregiver observations</x:v>
      </x:c>
      <x:c r="I167" s="22"/>
      <x:c r="J167" s="22" t="str">
        <x:v>Persistent abnormal readings, acute symptoms, rapid weight change, reduced intake/urine or functional decline.</x:v>
      </x:c>
    </x:row>
    <x:row r="168" ht="38" customHeight="1">
      <x:c r="A168" s="22" t="str">
        <x:v>AS-06-2-X01</x:v>
      </x:c>
      <x:c r="B168" s="22" t="str">
        <x:v>AS-06</x:v>
      </x:c>
      <x:c r="C168" s="22" t="str">
        <x:v>Clinical Monitoring / Condition Management</x:v>
      </x:c>
      <x:c r="D168" s="22" t="n">
        <x:v>2</x:v>
      </x:c>
      <x:c r="E168" s="22" t="str">
        <x:v>Condition-specific</x:v>
      </x:c>
      <x:c r="F168" s="22" t="str">
        <x:v>glucose monitoring as ordered; observe hypo/hyperglycemia symptoms.</x:v>
      </x:c>
      <x:c r="G168" s="22" t="str">
        <x:v>Regular structured schedule</x:v>
      </x:c>
      <x:c r="H168" s="22" t="str">
        <x:v>Nurse-led; caregiver observations</x:v>
      </x:c>
      <x:c r="I168" s="22" t="str">
        <x:v>Diabetes</x:v>
      </x:c>
      <x:c r="J168" s="22" t="str">
        <x:v>Persistent abnormal readings, acute symptoms, rapid weight change, reduced intake/urine or functional decline.</x:v>
      </x:c>
    </x:row>
    <x:row r="169" ht="38" customHeight="1">
      <x:c r="A169" s="22" t="str">
        <x:v>AS-06-2-X02</x:v>
      </x:c>
      <x:c r="B169" s="22" t="str">
        <x:v>AS-06</x:v>
      </x:c>
      <x:c r="C169" s="22" t="str">
        <x:v>Clinical Monitoring / Condition Management</x:v>
      </x:c>
      <x:c r="D169" s="22" t="n">
        <x:v>2</x:v>
      </x:c>
      <x:c r="E169" s="22" t="str">
        <x:v>Condition-specific</x:v>
      </x:c>
      <x:c r="F169" s="22" t="str">
        <x:v>monitor BP, edema, hydration and weight if ordered.</x:v>
      </x:c>
      <x:c r="G169" s="22" t="str">
        <x:v>Regular structured schedule</x:v>
      </x:c>
      <x:c r="H169" s="22" t="str">
        <x:v>Nurse-led; caregiver observations</x:v>
      </x:c>
      <x:c r="I169" s="22" t="str">
        <x:v>Hypertension/CKD</x:v>
      </x:c>
      <x:c r="J169" s="22" t="str">
        <x:v>Persistent abnormal readings, acute symptoms, rapid weight change, reduced intake/urine or functional decline.</x:v>
      </x:c>
    </x:row>
    <x:row r="170" ht="38" customHeight="1">
      <x:c r="A170" s="22" t="str">
        <x:v>AS-06-3-C01</x:v>
      </x:c>
      <x:c r="B170" s="22" t="str">
        <x:v>AS-06</x:v>
      </x:c>
      <x:c r="C170" s="22" t="str">
        <x:v>Clinical Monitoring / Condition Management</x:v>
      </x:c>
      <x:c r="D170" s="22" t="n">
        <x:v>3</x:v>
      </x:c>
      <x:c r="E170" s="22" t="str">
        <x:v>Core</x:v>
      </x:c>
      <x:c r="F170" s="22" t="str">
        <x:v>Perform frequent monitoring across interacting conditions using a documented schedule.</x:v>
      </x:c>
      <x:c r="G170" s="22" t="str">
        <x:v>Frequent / multiple times as care plan requires</x:v>
      </x:c>
      <x:c r="H170" s="22" t="str">
        <x:v>Nurse-led; caregiver observations</x:v>
      </x:c>
      <x:c r="I170" s="22"/>
      <x:c r="J170" s="22" t="str">
        <x:v>Acute deterioration, repeated out-of-range findings or need for interventions beyond service scope.</x:v>
      </x:c>
    </x:row>
    <x:row r="171" ht="38" customHeight="1">
      <x:c r="A171" s="22" t="str">
        <x:v>AS-06-3-C02</x:v>
      </x:c>
      <x:c r="B171" s="22" t="str">
        <x:v>AS-06</x:v>
      </x:c>
      <x:c r="C171" s="22" t="str">
        <x:v>Clinical Monitoring / Condition Management</x:v>
      </x:c>
      <x:c r="D171" s="22" t="n">
        <x:v>3</x:v>
      </x:c>
      <x:c r="E171" s="22" t="str">
        <x:v>Core</x:v>
      </x:c>
      <x:c r="F171" s="22" t="str">
        <x:v>Compare current findings with resident-specific baseline and ordered parameters.</x:v>
      </x:c>
      <x:c r="G171" s="22" t="str">
        <x:v>Frequent / multiple times as care plan requires</x:v>
      </x:c>
      <x:c r="H171" s="22" t="str">
        <x:v>Nurse-led; caregiver observations</x:v>
      </x:c>
      <x:c r="I171" s="22"/>
      <x:c r="J171" s="22" t="str">
        <x:v>Acute deterioration, repeated out-of-range findings or need for interventions beyond service scope.</x:v>
      </x:c>
    </x:row>
    <x:row r="172" ht="38" customHeight="1">
      <x:c r="A172" s="22" t="str">
        <x:v>AS-06-3-C03</x:v>
      </x:c>
      <x:c r="B172" s="22" t="str">
        <x:v>AS-06</x:v>
      </x:c>
      <x:c r="C172" s="22" t="str">
        <x:v>Clinical Monitoring / Condition Management</x:v>
      </x:c>
      <x:c r="D172" s="22" t="n">
        <x:v>3</x:v>
      </x:c>
      <x:c r="E172" s="22" t="str">
        <x:v>Core</x:v>
      </x:c>
      <x:c r="F172" s="22" t="str">
        <x:v>Coordinate medication, nutrition, hydration and appointment issues with nurse/provider.</x:v>
      </x:c>
      <x:c r="G172" s="22" t="str">
        <x:v>Frequent / multiple times as care plan requires</x:v>
      </x:c>
      <x:c r="H172" s="22" t="str">
        <x:v>Nurse-led; caregiver observations</x:v>
      </x:c>
      <x:c r="I172" s="22"/>
      <x:c r="J172" s="22" t="str">
        <x:v>Acute deterioration, repeated out-of-range findings or need for interventions beyond service scope.</x:v>
      </x:c>
    </x:row>
    <x:row r="173" ht="38" customHeight="1">
      <x:c r="A173" s="22" t="str">
        <x:v>AS-06-3-C04</x:v>
      </x:c>
      <x:c r="B173" s="22" t="str">
        <x:v>AS-06</x:v>
      </x:c>
      <x:c r="C173" s="22" t="str">
        <x:v>Clinical Monitoring / Condition Management</x:v>
      </x:c>
      <x:c r="D173" s="22" t="n">
        <x:v>3</x:v>
      </x:c>
      <x:c r="E173" s="22" t="str">
        <x:v>Core</x:v>
      </x:c>
      <x:c r="F173" s="22" t="str">
        <x:v>Provide clear shift-to-shift handoff of active clinical concerns.</x:v>
      </x:c>
      <x:c r="G173" s="22" t="str">
        <x:v>Frequent / multiple times as care plan requires</x:v>
      </x:c>
      <x:c r="H173" s="22" t="str">
        <x:v>Nurse-led; caregiver observations</x:v>
      </x:c>
      <x:c r="I173" s="22"/>
      <x:c r="J173" s="22" t="str">
        <x:v>Acute deterioration, repeated out-of-range findings or need for interventions beyond service scope.</x:v>
      </x:c>
    </x:row>
    <x:row r="174" ht="38" customHeight="1">
      <x:c r="A174" s="22" t="str">
        <x:v>AS-06-3-X01</x:v>
      </x:c>
      <x:c r="B174" s="22" t="str">
        <x:v>AS-06</x:v>
      </x:c>
      <x:c r="C174" s="22" t="str">
        <x:v>Clinical Monitoring / Condition Management</x:v>
      </x:c>
      <x:c r="D174" s="22" t="n">
        <x:v>3</x:v>
      </x:c>
      <x:c r="E174" s="22" t="str">
        <x:v>Condition-specific</x:v>
      </x:c>
      <x:c r="F174" s="22" t="str">
        <x:v>weight/edema/breathlessness monitoring as ordered.</x:v>
      </x:c>
      <x:c r="G174" s="22" t="str">
        <x:v>Frequent / multiple times as care plan requires</x:v>
      </x:c>
      <x:c r="H174" s="22" t="str">
        <x:v>Nurse-led; caregiver observations</x:v>
      </x:c>
      <x:c r="I174" s="22" t="str">
        <x:v>CHF/CKD</x:v>
      </x:c>
      <x:c r="J174" s="22" t="str">
        <x:v>Acute deterioration, repeated out-of-range findings or need for interventions beyond service scope.</x:v>
      </x:c>
    </x:row>
    <x:row r="175" ht="38" customHeight="1">
      <x:c r="A175" s="22" t="str">
        <x:v>AS-06-3-X02</x:v>
      </x:c>
      <x:c r="B175" s="22" t="str">
        <x:v>AS-06</x:v>
      </x:c>
      <x:c r="C175" s="22" t="str">
        <x:v>Clinical Monitoring / Condition Management</x:v>
      </x:c>
      <x:c r="D175" s="22" t="n">
        <x:v>3</x:v>
      </x:c>
      <x:c r="E175" s="22" t="str">
        <x:v>Condition-specific</x:v>
      </x:c>
      <x:c r="F175" s="22" t="str">
        <x:v>coordinate glucose/meal observations and report mismatches promptly.</x:v>
      </x:c>
      <x:c r="G175" s="22" t="str">
        <x:v>Frequent / multiple times as care plan requires</x:v>
      </x:c>
      <x:c r="H175" s="22" t="str">
        <x:v>Nurse-led; caregiver observations</x:v>
      </x:c>
      <x:c r="I175" s="22" t="str">
        <x:v>Diabetes plus poor intake</x:v>
      </x:c>
      <x:c r="J175" s="22" t="str">
        <x:v>Acute deterioration, repeated out-of-range findings or need for interventions beyond service scope.</x:v>
      </x:c>
    </x:row>
    <x:row r="176" ht="38" customHeight="1">
      <x:c r="A176" s="22" t="str">
        <x:v>AS-06-4-C01</x:v>
      </x:c>
      <x:c r="B176" s="22" t="str">
        <x:v>AS-06</x:v>
      </x:c>
      <x:c r="C176" s="22" t="str">
        <x:v>Clinical Monitoring / Condition Management</x:v>
      </x:c>
      <x:c r="D176" s="22" t="n">
        <x:v>4</x:v>
      </x:c>
      <x:c r="E176" s="22" t="str">
        <x:v>Core</x:v>
      </x:c>
      <x:c r="F176" s="22" t="str">
        <x:v>Provide very frequent structured clinical observation within service capability.</x:v>
      </x:c>
      <x:c r="G176" s="22" t="str">
        <x:v>Very frequent / near capability threshold</x:v>
      </x:c>
      <x:c r="H176" s="22" t="str">
        <x:v>Nurse-led; caregiver observations</x:v>
      </x:c>
      <x:c r="I176" s="22"/>
      <x:c r="J176" s="22" t="str">
        <x:v>Any instability requiring hospital-level care, continuous clinical monitoring or capability exceeded.</x:v>
      </x:c>
    </x:row>
    <x:row r="177" ht="38" customHeight="1">
      <x:c r="A177" s="22" t="str">
        <x:v>AS-06-4-C02</x:v>
      </x:c>
      <x:c r="B177" s="22" t="str">
        <x:v>AS-06</x:v>
      </x:c>
      <x:c r="C177" s="22" t="str">
        <x:v>Clinical Monitoring / Condition Management</x:v>
      </x:c>
      <x:c r="D177" s="22" t="n">
        <x:v>4</x:v>
      </x:c>
      <x:c r="E177" s="22" t="str">
        <x:v>Core</x:v>
      </x:c>
      <x:c r="F177" s="22" t="str">
        <x:v>Maintain active interdisciplinary coordination and explicit escalation thresholds.</x:v>
      </x:c>
      <x:c r="G177" s="22" t="str">
        <x:v>Very frequent / near capability threshold</x:v>
      </x:c>
      <x:c r="H177" s="22" t="str">
        <x:v>Nurse-led; caregiver observations</x:v>
      </x:c>
      <x:c r="I177" s="22"/>
      <x:c r="J177" s="22" t="str">
        <x:v>Any instability requiring hospital-level care, continuous clinical monitoring or capability exceeded.</x:v>
      </x:c>
    </x:row>
    <x:row r="178" ht="38" customHeight="1">
      <x:c r="A178" s="22" t="str">
        <x:v>AS-06-4-C03</x:v>
      </x:c>
      <x:c r="B178" s="22" t="str">
        <x:v>AS-06</x:v>
      </x:c>
      <x:c r="C178" s="22" t="str">
        <x:v>Clinical Monitoring / Condition Management</x:v>
      </x:c>
      <x:c r="D178" s="22" t="n">
        <x:v>4</x:v>
      </x:c>
      <x:c r="E178" s="22" t="str">
        <x:v>Core</x:v>
      </x:c>
      <x:c r="F178" s="22" t="str">
        <x:v>Document response to interventions and unresolved abnormalities.</x:v>
      </x:c>
      <x:c r="G178" s="22" t="str">
        <x:v>Very frequent / near capability threshold</x:v>
      </x:c>
      <x:c r="H178" s="22" t="str">
        <x:v>Nurse-led; caregiver observations</x:v>
      </x:c>
      <x:c r="I178" s="22"/>
      <x:c r="J178" s="22" t="str">
        <x:v>Any instability requiring hospital-level care, continuous clinical monitoring or capability exceeded.</x:v>
      </x:c>
    </x:row>
    <x:row r="179" ht="38" customHeight="1">
      <x:c r="A179" s="22" t="str">
        <x:v>AS-06-4-C04</x:v>
      </x:c>
      <x:c r="B179" s="22" t="str">
        <x:v>AS-06</x:v>
      </x:c>
      <x:c r="C179" s="22" t="str">
        <x:v>Clinical Monitoring / Condition Management</x:v>
      </x:c>
      <x:c r="D179" s="22" t="n">
        <x:v>4</x:v>
      </x:c>
      <x:c r="E179" s="22" t="str">
        <x:v>Core</x:v>
      </x:c>
      <x:c r="F179" s="22" t="str">
        <x:v>Initiate emergency/transfer process when criteria are met.</x:v>
      </x:c>
      <x:c r="G179" s="22" t="str">
        <x:v>Very frequent / near capability threshold</x:v>
      </x:c>
      <x:c r="H179" s="22" t="str">
        <x:v>Nurse-led; caregiver observations</x:v>
      </x:c>
      <x:c r="I179" s="22"/>
      <x:c r="J179" s="22" t="str">
        <x:v>Any instability requiring hospital-level care, continuous clinical monitoring or capability exceeded.</x:v>
      </x:c>
    </x:row>
    <x:row r="180" ht="38" customHeight="1">
      <x:c r="A180" s="22" t="str">
        <x:v>AS-06-4-X01</x:v>
      </x:c>
      <x:c r="B180" s="22" t="str">
        <x:v>AS-06</x:v>
      </x:c>
      <x:c r="C180" s="22" t="str">
        <x:v>Clinical Monitoring / Condition Management</x:v>
      </x:c>
      <x:c r="D180" s="22" t="n">
        <x:v>4</x:v>
      </x:c>
      <x:c r="E180" s="22" t="str">
        <x:v>Condition-specific</x:v>
      </x:c>
      <x:c r="F180" s="22" t="str">
        <x:v>monitor prescribed indicators closely and escalate early.</x:v>
      </x:c>
      <x:c r="G180" s="22" t="str">
        <x:v>Very frequent / near capability threshold</x:v>
      </x:c>
      <x:c r="H180" s="22" t="str">
        <x:v>Nurse-led; caregiver observations</x:v>
      </x:c>
      <x:c r="I180" s="22" t="str">
        <x:v>Complex cardiorespiratory disease</x:v>
      </x:c>
      <x:c r="J180" s="22" t="str">
        <x:v>Any instability requiring hospital-level care, continuous clinical monitoring or capability exceeded.</x:v>
      </x:c>
    </x:row>
    <x:row r="181" ht="38" customHeight="1">
      <x:c r="A181" s="22" t="str">
        <x:v>AS-06-4-X02</x:v>
      </x:c>
      <x:c r="B181" s="22" t="str">
        <x:v>AS-06</x:v>
      </x:c>
      <x:c r="C181" s="22" t="str">
        <x:v>Clinical Monitoring / Condition Management</x:v>
      </x:c>
      <x:c r="D181" s="22" t="n">
        <x:v>4</x:v>
      </x:c>
      <x:c r="E181" s="22" t="str">
        <x:v>Condition-specific</x:v>
      </x:c>
      <x:c r="F181" s="22" t="str">
        <x:v>follow ordered monitoring plan; urgent response to severe symptoms/readings per protocol.</x:v>
      </x:c>
      <x:c r="G181" s="22" t="str">
        <x:v>Very frequent / near capability threshold</x:v>
      </x:c>
      <x:c r="H181" s="22" t="str">
        <x:v>Nurse-led; caregiver observations</x:v>
      </x:c>
      <x:c r="I181" s="22" t="str">
        <x:v>High-risk diabetes</x:v>
      </x:c>
      <x:c r="J181" s="22" t="str">
        <x:v>Any instability requiring hospital-level care, continuous clinical monitoring or capability exceeded.</x:v>
      </x:c>
    </x:row>
    <x:row r="182" ht="38" customHeight="1">
      <x:c r="A182" s="22" t="str">
        <x:v>AS-07-0-C01</x:v>
      </x:c>
      <x:c r="B182" s="22" t="str">
        <x:v>AS-07</x:v>
      </x:c>
      <x:c r="C182" s="22" t="str">
        <x:v>Medication Support</x:v>
      </x:c>
      <x:c r="D182" s="22" t="n">
        <x:v>0</x:v>
      </x:c>
      <x:c r="E182" s="22" t="str">
        <x:v>Core</x:v>
      </x:c>
      <x:c r="F182" s="22" t="str">
        <x:v>Allow resident to self-manage medications when assessed safe and permitted.</x:v>
      </x:c>
      <x:c r="G182" s="22" t="str">
        <x:v>Resident-led; routine observation</x:v>
      </x:c>
      <x:c r="H182" s="22" t="str">
        <x:v>Nurse / medication-authorized staff per policy</x:v>
      </x:c>
      <x:c r="I182" s="22"/>
      <x:c r="J182" s="22" t="str">
        <x:v>Any missed/duplicate dose, confusion, unsafe storage or declining self-management.</x:v>
      </x:c>
    </x:row>
    <x:row r="183" ht="38" customHeight="1">
      <x:c r="A183" s="22" t="str">
        <x:v>AS-07-0-C02</x:v>
      </x:c>
      <x:c r="B183" s="22" t="str">
        <x:v>AS-07</x:v>
      </x:c>
      <x:c r="C183" s="22" t="str">
        <x:v>Medication Support</x:v>
      </x:c>
      <x:c r="D183" s="22" t="n">
        <x:v>0</x:v>
      </x:c>
      <x:c r="E183" s="22" t="str">
        <x:v>Core</x:v>
      </x:c>
      <x:c r="F183" s="22" t="str">
        <x:v>Keep medication routine and storage consistent with policy.</x:v>
      </x:c>
      <x:c r="G183" s="22" t="str">
        <x:v>Resident-led; routine observation</x:v>
      </x:c>
      <x:c r="H183" s="22" t="str">
        <x:v>Nurse / medication-authorized staff per policy</x:v>
      </x:c>
      <x:c r="I183" s="22"/>
      <x:c r="J183" s="22" t="str">
        <x:v>Any missed/duplicate dose, confusion, unsafe storage or declining self-management.</x:v>
      </x:c>
    </x:row>
    <x:row r="184" ht="38" customHeight="1">
      <x:c r="A184" s="22" t="str">
        <x:v>AS-07-0-C03</x:v>
      </x:c>
      <x:c r="B184" s="22" t="str">
        <x:v>AS-07</x:v>
      </x:c>
      <x:c r="C184" s="22" t="str">
        <x:v>Medication Support</x:v>
      </x:c>
      <x:c r="D184" s="22" t="n">
        <x:v>0</x:v>
      </x:c>
      <x:c r="E184" s="22" t="str">
        <x:v>Core</x:v>
      </x:c>
      <x:c r="F184" s="22" t="str">
        <x:v>Encourage use of personal reminder system if preferred.</x:v>
      </x:c>
      <x:c r="G184" s="22" t="str">
        <x:v>Resident-led; routine observation</x:v>
      </x:c>
      <x:c r="H184" s="22" t="str">
        <x:v>Nurse / medication-authorized staff per policy</x:v>
      </x:c>
      <x:c r="I184" s="22"/>
      <x:c r="J184" s="22" t="str">
        <x:v>Any missed/duplicate dose, confusion, unsafe storage or declining self-management.</x:v>
      </x:c>
    </x:row>
    <x:row r="185" ht="38" customHeight="1">
      <x:c r="A185" s="22" t="str">
        <x:v>AS-07-0-C04</x:v>
      </x:c>
      <x:c r="B185" s="22" t="str">
        <x:v>AS-07</x:v>
      </x:c>
      <x:c r="C185" s="22" t="str">
        <x:v>Medication Support</x:v>
      </x:c>
      <x:c r="D185" s="22" t="n">
        <x:v>0</x:v>
      </x:c>
      <x:c r="E185" s="22" t="str">
        <x:v>Core</x:v>
      </x:c>
      <x:c r="F185" s="22" t="str">
        <x:v>Report observed confusion, missed doses or adverse symptoms.</x:v>
      </x:c>
      <x:c r="G185" s="22" t="str">
        <x:v>Resident-led; routine observation</x:v>
      </x:c>
      <x:c r="H185" s="22" t="str">
        <x:v>Nurse / medication-authorized staff per policy</x:v>
      </x:c>
      <x:c r="I185" s="22"/>
      <x:c r="J185" s="22" t="str">
        <x:v>Any missed/duplicate dose, confusion, unsafe storage or declining self-management.</x:v>
      </x:c>
    </x:row>
    <x:row r="186" ht="38" customHeight="1">
      <x:c r="A186" s="22" t="str">
        <x:v>AS-07-0-X01</x:v>
      </x:c>
      <x:c r="B186" s="22" t="str">
        <x:v>AS-07</x:v>
      </x:c>
      <x:c r="C186" s="22" t="str">
        <x:v>Medication Support</x:v>
      </x:c>
      <x:c r="D186" s="22" t="n">
        <x:v>0</x:v>
      </x:c>
      <x:c r="E186" s="22" t="str">
        <x:v>Condition-specific</x:v>
      </x:c>
      <x:c r="F186" s="22" t="str">
        <x:v>verify ability to identify schedule and doses.</x:v>
      </x:c>
      <x:c r="G186" s="22" t="str">
        <x:v>Resident-led; routine observation</x:v>
      </x:c>
      <x:c r="H186" s="22" t="str">
        <x:v>Nurse / medication-authorized staff per policy</x:v>
      </x:c>
      <x:c r="I186" s="22" t="str">
        <x:v>Early memory concerns</x:v>
      </x:c>
      <x:c r="J186" s="22" t="str">
        <x:v>Any missed/duplicate dose, confusion, unsafe storage or declining self-management.</x:v>
      </x:c>
    </x:row>
    <x:row r="187" ht="38" customHeight="1">
      <x:c r="A187" s="22" t="str">
        <x:v>AS-07-0-X02</x:v>
      </x:c>
      <x:c r="B187" s="22" t="str">
        <x:v>AS-07</x:v>
      </x:c>
      <x:c r="C187" s="22" t="str">
        <x:v>Medication Support</x:v>
      </x:c>
      <x:c r="D187" s="22" t="n">
        <x:v>0</x:v>
      </x:c>
      <x:c r="E187" s="22" t="str">
        <x:v>Condition-specific</x:v>
      </x:c>
      <x:c r="F187" s="22" t="str">
        <x:v>ensure labels/aids are usable.</x:v>
      </x:c>
      <x:c r="G187" s="22" t="str">
        <x:v>Resident-led; routine observation</x:v>
      </x:c>
      <x:c r="H187" s="22" t="str">
        <x:v>Nurse / medication-authorized staff per policy</x:v>
      </x:c>
      <x:c r="I187" s="22" t="str">
        <x:v>Vision impairment</x:v>
      </x:c>
      <x:c r="J187" s="22" t="str">
        <x:v>Any missed/duplicate dose, confusion, unsafe storage or declining self-management.</x:v>
      </x:c>
    </x:row>
    <x:row r="188" ht="38" customHeight="1">
      <x:c r="A188" s="22" t="str">
        <x:v>AS-07-1-C01</x:v>
      </x:c>
      <x:c r="B188" s="22" t="str">
        <x:v>AS-07</x:v>
      </x:c>
      <x:c r="C188" s="22" t="str">
        <x:v>Medication Support</x:v>
      </x:c>
      <x:c r="D188" s="22" t="n">
        <x:v>1</x:v>
      </x:c>
      <x:c r="E188" s="22" t="str">
        <x:v>Core</x:v>
      </x:c>
      <x:c r="F188" s="22" t="str">
        <x:v>Provide reminders or setup support permitted by policy.</x:v>
      </x:c>
      <x:c r="G188" s="22" t="str">
        <x:v>At medication times as needed</x:v>
      </x:c>
      <x:c r="H188" s="22" t="str">
        <x:v>Nurse / medication-authorized staff per policy</x:v>
      </x:c>
      <x:c r="I188" s="22"/>
      <x:c r="J188" s="22" t="str">
        <x:v>Repeated missed/refused doses, inability to self-administer correctly or adverse effect.</x:v>
      </x:c>
    </x:row>
    <x:row r="189" ht="38" customHeight="1">
      <x:c r="A189" s="22" t="str">
        <x:v>AS-07-1-C02</x:v>
      </x:c>
      <x:c r="B189" s="22" t="str">
        <x:v>AS-07</x:v>
      </x:c>
      <x:c r="C189" s="22" t="str">
        <x:v>Medication Support</x:v>
      </x:c>
      <x:c r="D189" s="22" t="n">
        <x:v>1</x:v>
      </x:c>
      <x:c r="E189" s="22" t="str">
        <x:v>Core</x:v>
      </x:c>
      <x:c r="F189" s="22" t="str">
        <x:v>Confirm resident has taken medication when supervision is part of plan.</x:v>
      </x:c>
      <x:c r="G189" s="22" t="str">
        <x:v>At medication times as needed</x:v>
      </x:c>
      <x:c r="H189" s="22" t="str">
        <x:v>Nurse / medication-authorized staff per policy</x:v>
      </x:c>
      <x:c r="I189" s="22"/>
      <x:c r="J189" s="22" t="str">
        <x:v>Repeated missed/refused doses, inability to self-administer correctly or adverse effect.</x:v>
      </x:c>
    </x:row>
    <x:row r="190" ht="38" customHeight="1">
      <x:c r="A190" s="22" t="str">
        <x:v>AS-07-1-C03</x:v>
      </x:c>
      <x:c r="B190" s="22" t="str">
        <x:v>AS-07</x:v>
      </x:c>
      <x:c r="C190" s="22" t="str">
        <x:v>Medication Support</x:v>
      </x:c>
      <x:c r="D190" s="22" t="n">
        <x:v>1</x:v>
      </x:c>
      <x:c r="E190" s="22" t="str">
        <x:v>Core</x:v>
      </x:c>
      <x:c r="F190" s="22" t="str">
        <x:v>Maintain consistent medication timing around resident routine.</x:v>
      </x:c>
      <x:c r="G190" s="22" t="str">
        <x:v>At medication times as needed</x:v>
      </x:c>
      <x:c r="H190" s="22" t="str">
        <x:v>Nurse / medication-authorized staff per policy</x:v>
      </x:c>
      <x:c r="I190" s="22"/>
      <x:c r="J190" s="22" t="str">
        <x:v>Repeated missed/refused doses, inability to self-administer correctly or adverse effect.</x:v>
      </x:c>
    </x:row>
    <x:row r="191" ht="38" customHeight="1">
      <x:c r="A191" s="22" t="str">
        <x:v>AS-07-1-C04</x:v>
      </x:c>
      <x:c r="B191" s="22" t="str">
        <x:v>AS-07</x:v>
      </x:c>
      <x:c r="C191" s="22" t="str">
        <x:v>Medication Support</x:v>
      </x:c>
      <x:c r="D191" s="22" t="n">
        <x:v>1</x:v>
      </x:c>
      <x:c r="E191" s="22" t="str">
        <x:v>Core</x:v>
      </x:c>
      <x:c r="F191" s="22" t="str">
        <x:v>Document refusals, omissions or unusual effects.</x:v>
      </x:c>
      <x:c r="G191" s="22" t="str">
        <x:v>At medication times as needed</x:v>
      </x:c>
      <x:c r="H191" s="22" t="str">
        <x:v>Nurse / medication-authorized staff per policy</x:v>
      </x:c>
      <x:c r="I191" s="22"/>
      <x:c r="J191" s="22" t="str">
        <x:v>Repeated missed/refused doses, inability to self-administer correctly or adverse effect.</x:v>
      </x:c>
    </x:row>
    <x:row r="192" ht="38" customHeight="1">
      <x:c r="A192" s="22" t="str">
        <x:v>AS-07-1-X01</x:v>
      </x:c>
      <x:c r="B192" s="22" t="str">
        <x:v>AS-07</x:v>
      </x:c>
      <x:c r="C192" s="22" t="str">
        <x:v>Medication Support</x:v>
      </x:c>
      <x:c r="D192" s="22" t="n">
        <x:v>1</x:v>
      </x:c>
      <x:c r="E192" s="22" t="str">
        <x:v>Condition-specific</x:v>
      </x:c>
      <x:c r="F192" s="22" t="str">
        <x:v>one-step reminder and direct observation if required.</x:v>
      </x:c>
      <x:c r="G192" s="22" t="str">
        <x:v>At medication times as needed</x:v>
      </x:c>
      <x:c r="H192" s="22" t="str">
        <x:v>Nurse / medication-authorized staff per policy</x:v>
      </x:c>
      <x:c r="I192" s="22" t="str">
        <x:v>Mild dementia</x:v>
      </x:c>
      <x:c r="J192" s="22" t="str">
        <x:v>Repeated missed/refused doses, inability to self-administer correctly or adverse effect.</x:v>
      </x:c>
    </x:row>
    <x:row r="193" ht="38" customHeight="1">
      <x:c r="A193" s="22" t="str">
        <x:v>AS-07-1-X02</x:v>
      </x:c>
      <x:c r="B193" s="22" t="str">
        <x:v>AS-07</x:v>
      </x:c>
      <x:c r="C193" s="22" t="str">
        <x:v>Medication Support</x:v>
      </x:c>
      <x:c r="D193" s="22" t="n">
        <x:v>1</x:v>
      </x:c>
      <x:c r="E193" s="22" t="str">
        <x:v>Condition-specific</x:v>
      </x:c>
      <x:c r="F193" s="22" t="str">
        <x:v>use organized schedule and watch for dizziness/sedation.</x:v>
      </x:c>
      <x:c r="G193" s="22" t="str">
        <x:v>At medication times as needed</x:v>
      </x:c>
      <x:c r="H193" s="22" t="str">
        <x:v>Nurse / medication-authorized staff per policy</x:v>
      </x:c>
      <x:c r="I193" s="22" t="str">
        <x:v>Polypharmacy</x:v>
      </x:c>
      <x:c r="J193" s="22" t="str">
        <x:v>Repeated missed/refused doses, inability to self-administer correctly or adverse effect.</x:v>
      </x:c>
    </x:row>
    <x:row r="194" ht="38" customHeight="1">
      <x:c r="A194" s="22" t="str">
        <x:v>AS-07-2-C01</x:v>
      </x:c>
      <x:c r="B194" s="22" t="str">
        <x:v>AS-07</x:v>
      </x:c>
      <x:c r="C194" s="22" t="str">
        <x:v>Medication Support</x:v>
      </x:c>
      <x:c r="D194" s="22" t="n">
        <x:v>2</x:v>
      </x:c>
      <x:c r="E194" s="22" t="str">
        <x:v>Core</x:v>
      </x:c>
      <x:c r="F194" s="22" t="str">
        <x:v>Provide regular medication supervision/assistance according to MAR/orders and scope.</x:v>
      </x:c>
      <x:c r="G194" s="22" t="str">
        <x:v>Each scheduled medication time</x:v>
      </x:c>
      <x:c r="H194" s="22" t="str">
        <x:v>Nurse / medication-authorized staff per policy</x:v>
      </x:c>
      <x:c r="I194" s="22"/>
      <x:c r="J194" s="22" t="str">
        <x:v>Medication error, repeated refusal, adverse reaction, new swallowing issue or regimen complexity increase.</x:v>
      </x:c>
    </x:row>
    <x:row r="195" ht="38" customHeight="1">
      <x:c r="A195" s="22" t="str">
        <x:v>AS-07-2-C02</x:v>
      </x:c>
      <x:c r="B195" s="22" t="str">
        <x:v>AS-07</x:v>
      </x:c>
      <x:c r="C195" s="22" t="str">
        <x:v>Medication Support</x:v>
      </x:c>
      <x:c r="D195" s="22" t="n">
        <x:v>2</x:v>
      </x:c>
      <x:c r="E195" s="22" t="str">
        <x:v>Core</x:v>
      </x:c>
      <x:c r="F195" s="22" t="str">
        <x:v>Check the right resident/medication/time/route per medication policy.</x:v>
      </x:c>
      <x:c r="G195" s="22" t="str">
        <x:v>Each scheduled medication time</x:v>
      </x:c>
      <x:c r="H195" s="22" t="str">
        <x:v>Nurse / medication-authorized staff per policy</x:v>
      </x:c>
      <x:c r="I195" s="22"/>
      <x:c r="J195" s="22" t="str">
        <x:v>Medication error, repeated refusal, adverse reaction, new swallowing issue or regimen complexity increase.</x:v>
      </x:c>
    </x:row>
    <x:row r="196" ht="38" customHeight="1">
      <x:c r="A196" s="22" t="str">
        <x:v>AS-07-2-C03</x:v>
      </x:c>
      <x:c r="B196" s="22" t="str">
        <x:v>AS-07</x:v>
      </x:c>
      <x:c r="C196" s="22" t="str">
        <x:v>Medication Support</x:v>
      </x:c>
      <x:c r="D196" s="22" t="n">
        <x:v>2</x:v>
      </x:c>
      <x:c r="E196" s="22" t="str">
        <x:v>Core</x:v>
      </x:c>
      <x:c r="F196" s="22" t="str">
        <x:v>Monitor for side effects, sedation, dizziness or behavior/cognition change.</x:v>
      </x:c>
      <x:c r="G196" s="22" t="str">
        <x:v>Each scheduled medication time</x:v>
      </x:c>
      <x:c r="H196" s="22" t="str">
        <x:v>Nurse / medication-authorized staff per policy</x:v>
      </x:c>
      <x:c r="I196" s="22"/>
      <x:c r="J196" s="22" t="str">
        <x:v>Medication error, repeated refusal, adverse reaction, new swallowing issue or regimen complexity increase.</x:v>
      </x:c>
    </x:row>
    <x:row r="197" ht="38" customHeight="1">
      <x:c r="A197" s="22" t="str">
        <x:v>AS-07-2-C04</x:v>
      </x:c>
      <x:c r="B197" s="22" t="str">
        <x:v>AS-07</x:v>
      </x:c>
      <x:c r="C197" s="22" t="str">
        <x:v>Medication Support</x:v>
      </x:c>
      <x:c r="D197" s="22" t="n">
        <x:v>2</x:v>
      </x:c>
      <x:c r="E197" s="22" t="str">
        <x:v>Core</x:v>
      </x:c>
      <x:c r="F197" s="22" t="str">
        <x:v>Report refusals, omissions, PRN patterns and concerns to nurse/provider.</x:v>
      </x:c>
      <x:c r="G197" s="22" t="str">
        <x:v>Each scheduled medication time</x:v>
      </x:c>
      <x:c r="H197" s="22" t="str">
        <x:v>Nurse / medication-authorized staff per policy</x:v>
      </x:c>
      <x:c r="I197" s="22"/>
      <x:c r="J197" s="22" t="str">
        <x:v>Medication error, repeated refusal, adverse reaction, new swallowing issue or regimen complexity increase.</x:v>
      </x:c>
    </x:row>
    <x:row r="198" ht="38" customHeight="1">
      <x:c r="A198" s="22" t="str">
        <x:v>AS-07-2-X01</x:v>
      </x:c>
      <x:c r="B198" s="22" t="str">
        <x:v>AS-07</x:v>
      </x:c>
      <x:c r="C198" s="22" t="str">
        <x:v>Medication Support</x:v>
      </x:c>
      <x:c r="D198" s="22" t="n">
        <x:v>2</x:v>
      </x:c>
      <x:c r="E198" s="22" t="str">
        <x:v>Condition-specific</x:v>
      </x:c>
      <x:c r="F198" s="22" t="str">
        <x:v>do not leave medications unattended; use calm cueing and observe swallowing if required.</x:v>
      </x:c>
      <x:c r="G198" s="22" t="str">
        <x:v>Each scheduled medication time</x:v>
      </x:c>
      <x:c r="H198" s="22" t="str">
        <x:v>Nurse / medication-authorized staff per policy</x:v>
      </x:c>
      <x:c r="I198" s="22" t="str">
        <x:v>Dementia</x:v>
      </x:c>
      <x:c r="J198" s="22" t="str">
        <x:v>Medication error, repeated refusal, adverse reaction, new swallowing issue or regimen complexity increase.</x:v>
      </x:c>
    </x:row>
    <x:row r="199" ht="38" customHeight="1">
      <x:c r="A199" s="22" t="str">
        <x:v>AS-07-2-X02</x:v>
      </x:c>
      <x:c r="B199" s="22" t="str">
        <x:v>AS-07</x:v>
      </x:c>
      <x:c r="C199" s="22" t="str">
        <x:v>Medication Support</x:v>
      </x:c>
      <x:c r="D199" s="22" t="n">
        <x:v>2</x:v>
      </x:c>
      <x:c r="E199" s="22" t="str">
        <x:v>Condition-specific</x:v>
      </x:c>
      <x:c r="F199" s="22" t="str">
        <x:v>coordinate medication timing with meals/glucose monitoring as ordered.</x:v>
      </x:c>
      <x:c r="G199" s="22" t="str">
        <x:v>Each scheduled medication time</x:v>
      </x:c>
      <x:c r="H199" s="22" t="str">
        <x:v>Nurse / medication-authorized staff per policy</x:v>
      </x:c>
      <x:c r="I199" s="22" t="str">
        <x:v>Diabetes</x:v>
      </x:c>
      <x:c r="J199" s="22" t="str">
        <x:v>Medication error, repeated refusal, adverse reaction, new swallowing issue or regimen complexity increase.</x:v>
      </x:c>
    </x:row>
    <x:row r="200" ht="38" customHeight="1">
      <x:c r="A200" s="22" t="str">
        <x:v>AS-07-3-C01</x:v>
      </x:c>
      <x:c r="B200" s="22" t="str">
        <x:v>AS-07</x:v>
      </x:c>
      <x:c r="C200" s="22" t="str">
        <x:v>Medication Support</x:v>
      </x:c>
      <x:c r="D200" s="22" t="n">
        <x:v>3</x:v>
      </x:c>
      <x:c r="E200" s="22" t="str">
        <x:v>Core</x:v>
      </x:c>
      <x:c r="F200" s="22" t="str">
        <x:v>Use structured medication administration and reconciliation process for complex regimen.</x:v>
      </x:c>
      <x:c r="G200" s="22" t="str">
        <x:v>Every administration; close review</x:v>
      </x:c>
      <x:c r="H200" s="22" t="str">
        <x:v>Nurse / medication-authorized staff per policy</x:v>
      </x:c>
      <x:c r="I200" s="22"/>
      <x:c r="J200" s="22" t="str">
        <x:v>Suspected adverse drug event, reconciliation discrepancy, repeated PRN need or inability to manage safely.</x:v>
      </x:c>
    </x:row>
    <x:row r="201" ht="38" customHeight="1">
      <x:c r="A201" s="22" t="str">
        <x:v>AS-07-3-C02</x:v>
      </x:c>
      <x:c r="B201" s="22" t="str">
        <x:v>AS-07</x:v>
      </x:c>
      <x:c r="C201" s="22" t="str">
        <x:v>Medication Support</x:v>
      </x:c>
      <x:c r="D201" s="22" t="n">
        <x:v>3</x:v>
      </x:c>
      <x:c r="E201" s="22" t="str">
        <x:v>Core</x:v>
      </x:c>
      <x:c r="F201" s="22" t="str">
        <x:v>Coordinate time-critical medications, monitoring and meals as ordered.</x:v>
      </x:c>
      <x:c r="G201" s="22" t="str">
        <x:v>Every administration; close review</x:v>
      </x:c>
      <x:c r="H201" s="22" t="str">
        <x:v>Nurse / medication-authorized staff per policy</x:v>
      </x:c>
      <x:c r="I201" s="22"/>
      <x:c r="J201" s="22" t="str">
        <x:v>Suspected adverse drug event, reconciliation discrepancy, repeated PRN need or inability to manage safely.</x:v>
      </x:c>
    </x:row>
    <x:row r="202" ht="38" customHeight="1">
      <x:c r="A202" s="22" t="str">
        <x:v>AS-07-3-C03</x:v>
      </x:c>
      <x:c r="B202" s="22" t="str">
        <x:v>AS-07</x:v>
      </x:c>
      <x:c r="C202" s="22" t="str">
        <x:v>Medication Support</x:v>
      </x:c>
      <x:c r="D202" s="22" t="n">
        <x:v>3</x:v>
      </x:c>
      <x:c r="E202" s="22" t="str">
        <x:v>Core</x:v>
      </x:c>
      <x:c r="F202" s="22" t="str">
        <x:v>Track PRN use/response and high-risk side effects.</x:v>
      </x:c>
      <x:c r="G202" s="22" t="str">
        <x:v>Every administration; close review</x:v>
      </x:c>
      <x:c r="H202" s="22" t="str">
        <x:v>Nurse / medication-authorized staff per policy</x:v>
      </x:c>
      <x:c r="I202" s="22"/>
      <x:c r="J202" s="22" t="str">
        <x:v>Suspected adverse drug event, reconciliation discrepancy, repeated PRN need or inability to manage safely.</x:v>
      </x:c>
    </x:row>
    <x:row r="203" ht="38" customHeight="1">
      <x:c r="A203" s="22" t="str">
        <x:v>AS-07-3-C04</x:v>
      </x:c>
      <x:c r="B203" s="22" t="str">
        <x:v>AS-07</x:v>
      </x:c>
      <x:c r="C203" s="22" t="str">
        <x:v>Medication Support</x:v>
      </x:c>
      <x:c r="D203" s="22" t="n">
        <x:v>3</x:v>
      </x:c>
      <x:c r="E203" s="22" t="str">
        <x:v>Core</x:v>
      </x:c>
      <x:c r="F203" s="22" t="str">
        <x:v>Ensure changes after hospital/clinic visits are reconciled before implementation.</x:v>
      </x:c>
      <x:c r="G203" s="22" t="str">
        <x:v>Every administration; close review</x:v>
      </x:c>
      <x:c r="H203" s="22" t="str">
        <x:v>Nurse / medication-authorized staff per policy</x:v>
      </x:c>
      <x:c r="I203" s="22"/>
      <x:c r="J203" s="22" t="str">
        <x:v>Suspected adverse drug event, reconciliation discrepancy, repeated PRN need or inability to manage safely.</x:v>
      </x:c>
    </x:row>
    <x:row r="204" ht="38" customHeight="1">
      <x:c r="A204" s="22" t="str">
        <x:v>AS-07-3-X01</x:v>
      </x:c>
      <x:c r="B204" s="22" t="str">
        <x:v>AS-07</x:v>
      </x:c>
      <x:c r="C204" s="22" t="str">
        <x:v>Medication Support</x:v>
      </x:c>
      <x:c r="D204" s="22" t="n">
        <x:v>3</x:v>
      </x:c>
      <x:c r="E204" s="22" t="str">
        <x:v>Condition-specific</x:v>
      </x:c>
      <x:c r="F204" s="22" t="str">
        <x:v>observe/report bleeding/bruising per care plan.</x:v>
      </x:c>
      <x:c r="G204" s="22" t="str">
        <x:v>Every administration; close review</x:v>
      </x:c>
      <x:c r="H204" s="22" t="str">
        <x:v>Nurse / medication-authorized staff per policy</x:v>
      </x:c>
      <x:c r="I204" s="22" t="str">
        <x:v>Anticoagulant</x:v>
      </x:c>
      <x:c r="J204" s="22" t="str">
        <x:v>Suspected adverse drug event, reconciliation discrepancy, repeated PRN need or inability to manage safely.</x:v>
      </x:c>
    </x:row>
    <x:row r="205" ht="38" customHeight="1">
      <x:c r="A205" s="22" t="str">
        <x:v>AS-07-3-X02</x:v>
      </x:c>
      <x:c r="B205" s="22" t="str">
        <x:v>AS-07</x:v>
      </x:c>
      <x:c r="C205" s="22" t="str">
        <x:v>Medication Support</x:v>
      </x:c>
      <x:c r="D205" s="22" t="n">
        <x:v>3</x:v>
      </x:c>
      <x:c r="E205" s="22" t="str">
        <x:v>Condition-specific</x:v>
      </x:c>
      <x:c r="F205" s="22" t="str">
        <x:v>monitor sedation, falls, behavior change and adverse effects.</x:v>
      </x:c>
      <x:c r="G205" s="22" t="str">
        <x:v>Every administration; close review</x:v>
      </x:c>
      <x:c r="H205" s="22" t="str">
        <x:v>Nurse / medication-authorized staff per policy</x:v>
      </x:c>
      <x:c r="I205" s="22" t="str">
        <x:v>Psychotropic use in dementia</x:v>
      </x:c>
      <x:c r="J205" s="22" t="str">
        <x:v>Suspected adverse drug event, reconciliation discrepancy, repeated PRN need or inability to manage safely.</x:v>
      </x:c>
    </x:row>
    <x:row r="206" ht="38" customHeight="1">
      <x:c r="A206" s="22" t="str">
        <x:v>AS-07-4-C01</x:v>
      </x:c>
      <x:c r="B206" s="22" t="str">
        <x:v>AS-07</x:v>
      </x:c>
      <x:c r="C206" s="22" t="str">
        <x:v>Medication Support</x:v>
      </x:c>
      <x:c r="D206" s="22" t="n">
        <x:v>4</x:v>
      </x:c>
      <x:c r="E206" s="22" t="str">
        <x:v>Core</x:v>
      </x:c>
      <x:c r="F206" s="22" t="str">
        <x:v>Provide intensive medication support within licensed/service capability.</x:v>
      </x:c>
      <x:c r="G206" s="22" t="str">
        <x:v>High-frequency / time-critical</x:v>
      </x:c>
      <x:c r="H206" s="22" t="str">
        <x:v>Nurse / medication-authorized staff per policy</x:v>
      </x:c>
      <x:c r="I206" s="22"/>
      <x:c r="J206" s="22" t="str">
        <x:v>Need for IV/continuous infusion or medication management beyond facility scope; severe reaction/emergency.</x:v>
      </x:c>
    </x:row>
    <x:row r="207" ht="38" customHeight="1">
      <x:c r="A207" s="22" t="str">
        <x:v>AS-07-4-C02</x:v>
      </x:c>
      <x:c r="B207" s="22" t="str">
        <x:v>AS-07</x:v>
      </x:c>
      <x:c r="C207" s="22" t="str">
        <x:v>Medication Support</x:v>
      </x:c>
      <x:c r="D207" s="22" t="n">
        <x:v>4</x:v>
      </x:c>
      <x:c r="E207" s="22" t="str">
        <x:v>Core</x:v>
      </x:c>
      <x:c r="F207" s="22" t="str">
        <x:v>Maintain close observation for therapeutic response and serious adverse effects.</x:v>
      </x:c>
      <x:c r="G207" s="22" t="str">
        <x:v>High-frequency / time-critical</x:v>
      </x:c>
      <x:c r="H207" s="22" t="str">
        <x:v>Nurse / medication-authorized staff per policy</x:v>
      </x:c>
      <x:c r="I207" s="22"/>
      <x:c r="J207" s="22" t="str">
        <x:v>Need for IV/continuous infusion or medication management beyond facility scope; severe reaction/emergency.</x:v>
      </x:c>
    </x:row>
    <x:row r="208" ht="38" customHeight="1">
      <x:c r="A208" s="22" t="str">
        <x:v>AS-07-4-C03</x:v>
      </x:c>
      <x:c r="B208" s="22" t="str">
        <x:v>AS-07</x:v>
      </x:c>
      <x:c r="C208" s="22" t="str">
        <x:v>Medication Support</x:v>
      </x:c>
      <x:c r="D208" s="22" t="n">
        <x:v>4</x:v>
      </x:c>
      <x:c r="E208" s="22" t="str">
        <x:v>Core</x:v>
      </x:c>
      <x:c r="F208" s="22" t="str">
        <x:v>Use explicit escalation pathway for missed critical doses, reactions or clinical instability.</x:v>
      </x:c>
      <x:c r="G208" s="22" t="str">
        <x:v>High-frequency / time-critical</x:v>
      </x:c>
      <x:c r="H208" s="22" t="str">
        <x:v>Nurse / medication-authorized staff per policy</x:v>
      </x:c>
      <x:c r="I208" s="22"/>
      <x:c r="J208" s="22" t="str">
        <x:v>Need for IV/continuous infusion or medication management beyond facility scope; severe reaction/emergency.</x:v>
      </x:c>
    </x:row>
    <x:row r="209" ht="38" customHeight="1">
      <x:c r="A209" s="22" t="str">
        <x:v>AS-07-4-C04</x:v>
      </x:c>
      <x:c r="B209" s="22" t="str">
        <x:v>AS-07</x:v>
      </x:c>
      <x:c r="C209" s="22" t="str">
        <x:v>Medication Support</x:v>
      </x:c>
      <x:c r="D209" s="22" t="n">
        <x:v>4</x:v>
      </x:c>
      <x:c r="E209" s="22" t="str">
        <x:v>Core</x:v>
      </x:c>
      <x:c r="F209" s="22" t="str">
        <x:v>Coordinate promptly with prescriber/pharmacy/nurse for regimen issues.</x:v>
      </x:c>
      <x:c r="G209" s="22" t="str">
        <x:v>High-frequency / time-critical</x:v>
      </x:c>
      <x:c r="H209" s="22" t="str">
        <x:v>Nurse / medication-authorized staff per policy</x:v>
      </x:c>
      <x:c r="I209" s="22"/>
      <x:c r="J209" s="22" t="str">
        <x:v>Need for IV/continuous infusion or medication management beyond facility scope; severe reaction/emergency.</x:v>
      </x:c>
    </x:row>
    <x:row r="210" ht="38" customHeight="1">
      <x:c r="A210" s="22" t="str">
        <x:v>AS-07-4-X01</x:v>
      </x:c>
      <x:c r="B210" s="22" t="str">
        <x:v>AS-07</x:v>
      </x:c>
      <x:c r="C210" s="22" t="str">
        <x:v>Medication Support</x:v>
      </x:c>
      <x:c r="D210" s="22" t="n">
        <x:v>4</x:v>
      </x:c>
      <x:c r="E210" s="22" t="str">
        <x:v>Condition-specific</x:v>
      </x:c>
      <x:c r="F210" s="22" t="str">
        <x:v>follow exact orders and capability limits; escalate severe hypo/hyperglycemia.</x:v>
      </x:c>
      <x:c r="G210" s="22" t="str">
        <x:v>High-frequency / time-critical</x:v>
      </x:c>
      <x:c r="H210" s="22" t="str">
        <x:v>Nurse / medication-authorized staff per policy</x:v>
      </x:c>
      <x:c r="I210" s="22" t="str">
        <x:v>Complex insulin regimen</x:v>
      </x:c>
      <x:c r="J210" s="22" t="str">
        <x:v>Need for IV/continuous infusion or medication management beyond facility scope; severe reaction/emergency.</x:v>
      </x:c>
    </x:row>
    <x:row r="211" ht="38" customHeight="1">
      <x:c r="A211" s="22" t="str">
        <x:v>AS-07-4-X02</x:v>
      </x:c>
      <x:c r="B211" s="22" t="str">
        <x:v>AS-07</x:v>
      </x:c>
      <x:c r="C211" s="22" t="str">
        <x:v>Medication Support</x:v>
      </x:c>
      <x:c r="D211" s="22" t="n">
        <x:v>4</x:v>
      </x:c>
      <x:c r="E211" s="22" t="str">
        <x:v>Condition-specific</x:v>
      </x:c>
      <x:c r="F211" s="22" t="str">
        <x:v>frequent review of sedation, BP, bleeding or interaction symptoms.</x:v>
      </x:c>
      <x:c r="G211" s="22" t="str">
        <x:v>High-frequency / time-critical</x:v>
      </x:c>
      <x:c r="H211" s="22" t="str">
        <x:v>Nurse / medication-authorized staff per policy</x:v>
      </x:c>
      <x:c r="I211" s="22" t="str">
        <x:v>Multiple high-risk medications</x:v>
      </x:c>
      <x:c r="J211" s="22" t="str">
        <x:v>Need for IV/continuous infusion or medication management beyond facility scope; severe reaction/emergency.</x:v>
      </x:c>
    </x:row>
    <x:row r="212" ht="38" customHeight="1">
      <x:c r="A212" s="22" t="str">
        <x:v>AS-08-0-C01</x:v>
      </x:c>
      <x:c r="B212" s="22" t="str">
        <x:v>AS-08</x:v>
      </x:c>
      <x:c r="C212" s="22" t="str">
        <x:v>Nutrition / Hydration / Swallowing</x:v>
      </x:c>
      <x:c r="D212" s="22" t="n">
        <x:v>0</x:v>
      </x:c>
      <x:c r="E212" s="22" t="str">
        <x:v>Core</x:v>
      </x:c>
      <x:c r="F212" s="22" t="str">
        <x:v>Offer balanced meals and fluids while respecting resident preferences.</x:v>
      </x:c>
      <x:c r="G212" s="22" t="str">
        <x:v>Meals/snacks; routine observation</x:v>
      </x:c>
      <x:c r="H212" s="22" t="str">
        <x:v>Caregiver + nurse; dietitian/SLP as indicated</x:v>
      </x:c>
      <x:c r="I212" s="22"/>
      <x:c r="J212" s="22" t="str">
        <x:v>Weight loss, poor intake, swallowing symptoms or dehydration signs.</x:v>
      </x:c>
    </x:row>
    <x:row r="213" ht="38" customHeight="1">
      <x:c r="A213" s="22" t="str">
        <x:v>AS-08-0-C02</x:v>
      </x:c>
      <x:c r="B213" s="22" t="str">
        <x:v>AS-08</x:v>
      </x:c>
      <x:c r="C213" s="22" t="str">
        <x:v>Nutrition / Hydration / Swallowing</x:v>
      </x:c>
      <x:c r="D213" s="22" t="n">
        <x:v>0</x:v>
      </x:c>
      <x:c r="E213" s="22" t="str">
        <x:v>Core</x:v>
      </x:c>
      <x:c r="F213" s="22" t="str">
        <x:v>Allow independent eating and preferred dining setting.</x:v>
      </x:c>
      <x:c r="G213" s="22" t="str">
        <x:v>Meals/snacks; routine observation</x:v>
      </x:c>
      <x:c r="H213" s="22" t="str">
        <x:v>Caregiver + nurse; dietitian/SLP as indicated</x:v>
      </x:c>
      <x:c r="I213" s="22"/>
      <x:c r="J213" s="22" t="str">
        <x:v>Weight loss, poor intake, swallowing symptoms or dehydration signs.</x:v>
      </x:c>
    </x:row>
    <x:row r="214" ht="38" customHeight="1">
      <x:c r="A214" s="22" t="str">
        <x:v>AS-08-0-C03</x:v>
      </x:c>
      <x:c r="B214" s="22" t="str">
        <x:v>AS-08</x:v>
      </x:c>
      <x:c r="C214" s="22" t="str">
        <x:v>Nutrition / Hydration / Swallowing</x:v>
      </x:c>
      <x:c r="D214" s="22" t="n">
        <x:v>0</x:v>
      </x:c>
      <x:c r="E214" s="22" t="str">
        <x:v>Core</x:v>
      </x:c>
      <x:c r="F214" s="22" t="str">
        <x:v>Ensure water/beverages are accessible.</x:v>
      </x:c>
      <x:c r="G214" s="22" t="str">
        <x:v>Meals/snacks; routine observation</x:v>
      </x:c>
      <x:c r="H214" s="22" t="str">
        <x:v>Caregiver + nurse; dietitian/SLP as indicated</x:v>
      </x:c>
      <x:c r="I214" s="22"/>
      <x:c r="J214" s="22" t="str">
        <x:v>Weight loss, poor intake, swallowing symptoms or dehydration signs.</x:v>
      </x:c>
    </x:row>
    <x:row r="215" ht="38" customHeight="1">
      <x:c r="A215" s="22" t="str">
        <x:v>AS-08-0-C04</x:v>
      </x:c>
      <x:c r="B215" s="22" t="str">
        <x:v>AS-08</x:v>
      </x:c>
      <x:c r="C215" s="22" t="str">
        <x:v>Nutrition / Hydration / Swallowing</x:v>
      </x:c>
      <x:c r="D215" s="22" t="n">
        <x:v>0</x:v>
      </x:c>
      <x:c r="E215" s="22" t="str">
        <x:v>Core</x:v>
      </x:c>
      <x:c r="F215" s="22" t="str">
        <x:v>Observe for unexpected weight or appetite change.</x:v>
      </x:c>
      <x:c r="G215" s="22" t="str">
        <x:v>Meals/snacks; routine observation</x:v>
      </x:c>
      <x:c r="H215" s="22" t="str">
        <x:v>Caregiver + nurse; dietitian/SLP as indicated</x:v>
      </x:c>
      <x:c r="I215" s="22"/>
      <x:c r="J215" s="22" t="str">
        <x:v>Weight loss, poor intake, swallowing symptoms or dehydration signs.</x:v>
      </x:c>
    </x:row>
    <x:row r="216" ht="38" customHeight="1">
      <x:c r="A216" s="22" t="str">
        <x:v>AS-08-0-X01</x:v>
      </x:c>
      <x:c r="B216" s="22" t="str">
        <x:v>AS-08</x:v>
      </x:c>
      <x:c r="C216" s="22" t="str">
        <x:v>Nutrition / Hydration / Swallowing</x:v>
      </x:c>
      <x:c r="D216" s="22" t="n">
        <x:v>0</x:v>
      </x:c>
      <x:c r="E216" s="22" t="str">
        <x:v>Condition-specific</x:v>
      </x:c>
      <x:c r="F216" s="22" t="str">
        <x:v>support agreed healthy choices without unnecessary restriction unless ordered.</x:v>
      </x:c>
      <x:c r="G216" s="22" t="str">
        <x:v>Meals/snacks; routine observation</x:v>
      </x:c>
      <x:c r="H216" s="22" t="str">
        <x:v>Caregiver + nurse; dietitian/SLP as indicated</x:v>
      </x:c>
      <x:c r="I216" s="22" t="str">
        <x:v>Diabetes</x:v>
      </x:c>
      <x:c r="J216" s="22" t="str">
        <x:v>Weight loss, poor intake, swallowing symptoms or dehydration signs.</x:v>
      </x:c>
    </x:row>
    <x:row r="217" ht="38" customHeight="1">
      <x:c r="A217" s="22" t="str">
        <x:v>AS-08-0-X02</x:v>
      </x:c>
      <x:c r="B217" s="22" t="str">
        <x:v>AS-08</x:v>
      </x:c>
      <x:c r="C217" s="22" t="str">
        <x:v>Nutrition / Hydration / Swallowing</x:v>
      </x:c>
      <x:c r="D217" s="22" t="n">
        <x:v>0</x:v>
      </x:c>
      <x:c r="E217" s="22" t="str">
        <x:v>Condition-specific</x:v>
      </x:c>
      <x:c r="F217" s="22" t="str">
        <x:v>do not impose renal restrictions unless prescribed.</x:v>
      </x:c>
      <x:c r="G217" s="22" t="str">
        <x:v>Meals/snacks; routine observation</x:v>
      </x:c>
      <x:c r="H217" s="22" t="str">
        <x:v>Caregiver + nurse; dietitian/SLP as indicated</x:v>
      </x:c>
      <x:c r="I217" s="22" t="str">
        <x:v>CKD history</x:v>
      </x:c>
      <x:c r="J217" s="22" t="str">
        <x:v>Weight loss, poor intake, swallowing symptoms or dehydration signs.</x:v>
      </x:c>
    </x:row>
    <x:row r="218" ht="38" customHeight="1">
      <x:c r="A218" s="22" t="str">
        <x:v>AS-08-1-C01</x:v>
      </x:c>
      <x:c r="B218" s="22" t="str">
        <x:v>AS-08</x:v>
      </x:c>
      <x:c r="C218" s="22" t="str">
        <x:v>Nutrition / Hydration / Swallowing</x:v>
      </x:c>
      <x:c r="D218" s="22" t="n">
        <x:v>1</x:v>
      </x:c>
      <x:c r="E218" s="22" t="str">
        <x:v>Core</x:v>
      </x:c>
      <x:c r="F218" s="22" t="str">
        <x:v>Provide meal setup, packaging assistance or cueing as needed.</x:v>
      </x:c>
      <x:c r="G218" s="22" t="str">
        <x:v>At meals; intermittent fluids</x:v>
      </x:c>
      <x:c r="H218" s="22" t="str">
        <x:v>Caregiver + nurse; dietitian/SLP as indicated</x:v>
      </x:c>
      <x:c r="I218" s="22"/>
      <x:c r="J218" s="22" t="str">
        <x:v>Regular supplementation/monitoring becomes necessary, weight decline or swallowing concern.</x:v>
      </x:c>
    </x:row>
    <x:row r="219" ht="38" customHeight="1">
      <x:c r="A219" s="22" t="str">
        <x:v>AS-08-1-C02</x:v>
      </x:c>
      <x:c r="B219" s="22" t="str">
        <x:v>AS-08</x:v>
      </x:c>
      <x:c r="C219" s="22" t="str">
        <x:v>Nutrition / Hydration / Swallowing</x:v>
      </x:c>
      <x:c r="D219" s="22" t="n">
        <x:v>1</x:v>
      </x:c>
      <x:c r="E219" s="22" t="str">
        <x:v>Core</x:v>
      </x:c>
      <x:c r="F219" s="22" t="str">
        <x:v>Offer preferred fluids regularly and encourage adequate intake.</x:v>
      </x:c>
      <x:c r="G219" s="22" t="str">
        <x:v>At meals; intermittent fluids</x:v>
      </x:c>
      <x:c r="H219" s="22" t="str">
        <x:v>Caregiver + nurse; dietitian/SLP as indicated</x:v>
      </x:c>
      <x:c r="I219" s="22"/>
      <x:c r="J219" s="22" t="str">
        <x:v>Regular supplementation/monitoring becomes necessary, weight decline or swallowing concern.</x:v>
      </x:c>
    </x:row>
    <x:row r="220" ht="38" customHeight="1">
      <x:c r="A220" s="22" t="str">
        <x:v>AS-08-1-C03</x:v>
      </x:c>
      <x:c r="B220" s="22" t="str">
        <x:v>AS-08</x:v>
      </x:c>
      <x:c r="C220" s="22" t="str">
        <x:v>Nutrition / Hydration / Swallowing</x:v>
      </x:c>
      <x:c r="D220" s="22" t="n">
        <x:v>1</x:v>
      </x:c>
      <x:c r="E220" s="22" t="str">
        <x:v>Core</x:v>
      </x:c>
      <x:c r="F220" s="22" t="str">
        <x:v>Follow prescribed diet texture/diet modifications if present.</x:v>
      </x:c>
      <x:c r="G220" s="22" t="str">
        <x:v>At meals; intermittent fluids</x:v>
      </x:c>
      <x:c r="H220" s="22" t="str">
        <x:v>Caregiver + nurse; dietitian/SLP as indicated</x:v>
      </x:c>
      <x:c r="I220" s="22"/>
      <x:c r="J220" s="22" t="str">
        <x:v>Regular supplementation/monitoring becomes necessary, weight decline or swallowing concern.</x:v>
      </x:c>
    </x:row>
    <x:row r="221" ht="38" customHeight="1">
      <x:c r="A221" s="22" t="str">
        <x:v>AS-08-1-C04</x:v>
      </x:c>
      <x:c r="B221" s="22" t="str">
        <x:v>AS-08</x:v>
      </x:c>
      <x:c r="C221" s="22" t="str">
        <x:v>Nutrition / Hydration / Swallowing</x:v>
      </x:c>
      <x:c r="D221" s="22" t="n">
        <x:v>1</x:v>
      </x:c>
      <x:c r="E221" s="22" t="str">
        <x:v>Core</x:v>
      </x:c>
      <x:c r="F221" s="22" t="str">
        <x:v>Document persistent poor intake or new food difficulty.</x:v>
      </x:c>
      <x:c r="G221" s="22" t="str">
        <x:v>At meals; intermittent fluids</x:v>
      </x:c>
      <x:c r="H221" s="22" t="str">
        <x:v>Caregiver + nurse; dietitian/SLP as indicated</x:v>
      </x:c>
      <x:c r="I221" s="22"/>
      <x:c r="J221" s="22" t="str">
        <x:v>Regular supplementation/monitoring becomes necessary, weight decline or swallowing concern.</x:v>
      </x:c>
    </x:row>
    <x:row r="222" ht="38" customHeight="1">
      <x:c r="A222" s="22" t="str">
        <x:v>AS-08-1-X01</x:v>
      </x:c>
      <x:c r="B222" s="22" t="str">
        <x:v>AS-08</x:v>
      </x:c>
      <x:c r="C222" s="22" t="str">
        <x:v>Nutrition / Hydration / Swallowing</x:v>
      </x:c>
      <x:c r="D222" s="22" t="n">
        <x:v>1</x:v>
      </x:c>
      <x:c r="E222" s="22" t="str">
        <x:v>Condition-specific</x:v>
      </x:c>
      <x:c r="F222" s="22" t="str">
        <x:v>simple plate presentation and verbal cueing.</x:v>
      </x:c>
      <x:c r="G222" s="22" t="str">
        <x:v>At meals; intermittent fluids</x:v>
      </x:c>
      <x:c r="H222" s="22" t="str">
        <x:v>Caregiver + nurse; dietitian/SLP as indicated</x:v>
      </x:c>
      <x:c r="I222" s="22" t="str">
        <x:v>Early dementia</x:v>
      </x:c>
      <x:c r="J222" s="22" t="str">
        <x:v>Regular supplementation/monitoring becomes necessary, weight decline or swallowing concern.</x:v>
      </x:c>
    </x:row>
    <x:row r="223" ht="38" customHeight="1">
      <x:c r="A223" s="22" t="str">
        <x:v>AS-08-1-X02</x:v>
      </x:c>
      <x:c r="B223" s="22" t="str">
        <x:v>AS-08</x:v>
      </x:c>
      <x:c r="C223" s="22" t="str">
        <x:v>Nutrition / Hydration / Swallowing</x:v>
      </x:c>
      <x:c r="D223" s="22" t="n">
        <x:v>1</x:v>
      </x:c>
      <x:c r="E223" s="22" t="str">
        <x:v>Condition-specific</x:v>
      </x:c>
      <x:c r="F223" s="22" t="str">
        <x:v>offer appropriate softer choices pending review.</x:v>
      </x:c>
      <x:c r="G223" s="22" t="str">
        <x:v>At meals; intermittent fluids</x:v>
      </x:c>
      <x:c r="H223" s="22" t="str">
        <x:v>Caregiver + nurse; dietitian/SLP as indicated</x:v>
      </x:c>
      <x:c r="I223" s="22" t="str">
        <x:v>Dental issues</x:v>
      </x:c>
      <x:c r="J223" s="22" t="str">
        <x:v>Regular supplementation/monitoring becomes necessary, weight decline or swallowing concern.</x:v>
      </x:c>
    </x:row>
    <x:row r="224" ht="38" customHeight="1">
      <x:c r="A224" s="22" t="str">
        <x:v>AS-08-2-C01</x:v>
      </x:c>
      <x:c r="B224" s="22" t="str">
        <x:v>AS-08</x:v>
      </x:c>
      <x:c r="C224" s="22" t="str">
        <x:v>Nutrition / Hydration / Swallowing</x:v>
      </x:c>
      <x:c r="D224" s="22" t="n">
        <x:v>2</x:v>
      </x:c>
      <x:c r="E224" s="22" t="str">
        <x:v>Core</x:v>
      </x:c>
      <x:c r="F224" s="22" t="str">
        <x:v>Monitor meal/fluid intake and weight at care-plan frequency.</x:v>
      </x:c>
      <x:c r="G224" s="22" t="str">
        <x:v>Each meal; weight per plan</x:v>
      </x:c>
      <x:c r="H224" s="22" t="str">
        <x:v>Caregiver + nurse; dietitian/SLP as indicated</x:v>
      </x:c>
      <x:c r="I224" s="22"/>
      <x:c r="J224" s="22" t="str">
        <x:v>Ongoing weight loss, intake &lt; expected over repeated meals, dehydration or swallowing symptoms.</x:v>
      </x:c>
    </x:row>
    <x:row r="225" ht="38" customHeight="1">
      <x:c r="A225" s="22" t="str">
        <x:v>AS-08-2-C02</x:v>
      </x:c>
      <x:c r="B225" s="22" t="str">
        <x:v>AS-08</x:v>
      </x:c>
      <x:c r="C225" s="22" t="str">
        <x:v>Nutrition / Hydration / Swallowing</x:v>
      </x:c>
      <x:c r="D225" s="22" t="n">
        <x:v>2</x:v>
      </x:c>
      <x:c r="E225" s="22" t="str">
        <x:v>Core</x:v>
      </x:c>
      <x:c r="F225" s="22" t="str">
        <x:v>Provide regular meal assistance and prescribed nutritional supplements.</x:v>
      </x:c>
      <x:c r="G225" s="22" t="str">
        <x:v>Each meal; weight per plan</x:v>
      </x:c>
      <x:c r="H225" s="22" t="str">
        <x:v>Caregiver + nurse; dietitian/SLP as indicated</x:v>
      </x:c>
      <x:c r="I225" s="22"/>
      <x:c r="J225" s="22" t="str">
        <x:v>Ongoing weight loss, intake &lt; expected over repeated meals, dehydration or swallowing symptoms.</x:v>
      </x:c>
    </x:row>
    <x:row r="226" ht="38" customHeight="1">
      <x:c r="A226" s="22" t="str">
        <x:v>AS-08-2-C03</x:v>
      </x:c>
      <x:c r="B226" s="22" t="str">
        <x:v>AS-08</x:v>
      </x:c>
      <x:c r="C226" s="22" t="str">
        <x:v>Nutrition / Hydration / Swallowing</x:v>
      </x:c>
      <x:c r="D226" s="22" t="n">
        <x:v>2</x:v>
      </x:c>
      <x:c r="E226" s="22" t="str">
        <x:v>Core</x:v>
      </x:c>
      <x:c r="F226" s="22" t="str">
        <x:v>Offer nutrient-dense preferred foods and fluids within diet orders.</x:v>
      </x:c>
      <x:c r="G226" s="22" t="str">
        <x:v>Each meal; weight per plan</x:v>
      </x:c>
      <x:c r="H226" s="22" t="str">
        <x:v>Caregiver + nurse; dietitian/SLP as indicated</x:v>
      </x:c>
      <x:c r="I226" s="22"/>
      <x:c r="J226" s="22" t="str">
        <x:v>Ongoing weight loss, intake &lt; expected over repeated meals, dehydration or swallowing symptoms.</x:v>
      </x:c>
    </x:row>
    <x:row r="227" ht="38" customHeight="1">
      <x:c r="A227" s="22" t="str">
        <x:v>AS-08-2-C04</x:v>
      </x:c>
      <x:c r="B227" s="22" t="str">
        <x:v>AS-08</x:v>
      </x:c>
      <x:c r="C227" s="22" t="str">
        <x:v>Nutrition / Hydration / Swallowing</x:v>
      </x:c>
      <x:c r="D227" s="22" t="n">
        <x:v>2</x:v>
      </x:c>
      <x:c r="E227" s="22" t="str">
        <x:v>Core</x:v>
      </x:c>
      <x:c r="F227" s="22" t="str">
        <x:v>Escalate persistent low intake, weight loss, dehydration or glucose/meal mismatch.</x:v>
      </x:c>
      <x:c r="G227" s="22" t="str">
        <x:v>Each meal; weight per plan</x:v>
      </x:c>
      <x:c r="H227" s="22" t="str">
        <x:v>Caregiver + nurse; dietitian/SLP as indicated</x:v>
      </x:c>
      <x:c r="I227" s="22"/>
      <x:c r="J227" s="22" t="str">
        <x:v>Ongoing weight loss, intake &lt; expected over repeated meals, dehydration or swallowing symptoms.</x:v>
      </x:c>
    </x:row>
    <x:row r="228" ht="38" customHeight="1">
      <x:c r="A228" s="22" t="str">
        <x:v>AS-08-2-X01</x:v>
      </x:c>
      <x:c r="B228" s="22" t="str">
        <x:v>AS-08</x:v>
      </x:c>
      <x:c r="C228" s="22" t="str">
        <x:v>Nutrition / Hydration / Swallowing</x:v>
      </x:c>
      <x:c r="D228" s="22" t="n">
        <x:v>2</x:v>
      </x:c>
      <x:c r="E228" s="22" t="str">
        <x:v>Condition-specific</x:v>
      </x:c>
      <x:c r="F228" s="22" t="str">
        <x:v>track intake and weight trend; dietitian/medical review as available.</x:v>
      </x:c>
      <x:c r="G228" s="22" t="str">
        <x:v>Each meal; weight per plan</x:v>
      </x:c>
      <x:c r="H228" s="22" t="str">
        <x:v>Caregiver + nurse; dietitian/SLP as indicated</x:v>
      </x:c>
      <x:c r="I228" s="22" t="str">
        <x:v>Malnutrition/low weight</x:v>
      </x:c>
      <x:c r="J228" s="22" t="str">
        <x:v>Ongoing weight loss, intake &lt; expected over repeated meals, dehydration or swallowing symptoms.</x:v>
      </x:c>
    </x:row>
    <x:row r="229" ht="38" customHeight="1">
      <x:c r="A229" s="22" t="str">
        <x:v>AS-08-2-X02</x:v>
      </x:c>
      <x:c r="B229" s="22" t="str">
        <x:v>AS-08</x:v>
      </x:c>
      <x:c r="C229" s="22" t="str">
        <x:v>Nutrition / Hydration / Swallowing</x:v>
      </x:c>
      <x:c r="D229" s="22" t="n">
        <x:v>2</x:v>
      </x:c>
      <x:c r="E229" s="22" t="str">
        <x:v>Condition-specific</x:v>
      </x:c>
      <x:c r="F229" s="22" t="str">
        <x:v>coordinate meal consistency with ordered glucose/medication plan.</x:v>
      </x:c>
      <x:c r="G229" s="22" t="str">
        <x:v>Each meal; weight per plan</x:v>
      </x:c>
      <x:c r="H229" s="22" t="str">
        <x:v>Caregiver + nurse; dietitian/SLP as indicated</x:v>
      </x:c>
      <x:c r="I229" s="22" t="str">
        <x:v>Diabetes</x:v>
      </x:c>
      <x:c r="J229" s="22" t="str">
        <x:v>Ongoing weight loss, intake &lt; expected over repeated meals, dehydration or swallowing symptoms.</x:v>
      </x:c>
    </x:row>
    <x:row r="230" ht="38" customHeight="1">
      <x:c r="A230" s="22" t="str">
        <x:v>AS-08-3-C01</x:v>
      </x:c>
      <x:c r="B230" s="22" t="str">
        <x:v>AS-08</x:v>
      </x:c>
      <x:c r="C230" s="22" t="str">
        <x:v>Nutrition / Hydration / Swallowing</x:v>
      </x:c>
      <x:c r="D230" s="22" t="n">
        <x:v>3</x:v>
      </x:c>
      <x:c r="E230" s="22" t="str">
        <x:v>Core</x:v>
      </x:c>
      <x:c r="F230" s="22" t="str">
        <x:v>Provide frequent individualized feeding/intake support and close monitoring.</x:v>
      </x:c>
      <x:c r="G230" s="22" t="str">
        <x:v>Frequent; every meal/snack</x:v>
      </x:c>
      <x:c r="H230" s="22" t="str">
        <x:v>Caregiver + nurse; dietitian/SLP as indicated</x:v>
      </x:c>
      <x:c r="I230" s="22"/>
      <x:c r="J230" s="22" t="str">
        <x:v>Choking, aspiration signs, rapid weight loss, inability to maintain hydration or oral intake.</x:v>
      </x:c>
    </x:row>
    <x:row r="231" ht="38" customHeight="1">
      <x:c r="A231" s="22" t="str">
        <x:v>AS-08-3-C02</x:v>
      </x:c>
      <x:c r="B231" s="22" t="str">
        <x:v>AS-08</x:v>
      </x:c>
      <x:c r="C231" s="22" t="str">
        <x:v>Nutrition / Hydration / Swallowing</x:v>
      </x:c>
      <x:c r="D231" s="22" t="n">
        <x:v>3</x:v>
      </x:c>
      <x:c r="E231" s="22" t="str">
        <x:v>Core</x:v>
      </x:c>
      <x:c r="F231" s="22" t="str">
        <x:v>Follow prescribed texture, positioning and swallowing precautions.</x:v>
      </x:c>
      <x:c r="G231" s="22" t="str">
        <x:v>Frequent; every meal/snack</x:v>
      </x:c>
      <x:c r="H231" s="22" t="str">
        <x:v>Caregiver + nurse; dietitian/SLP as indicated</x:v>
      </x:c>
      <x:c r="I231" s="22"/>
      <x:c r="J231" s="22" t="str">
        <x:v>Choking, aspiration signs, rapid weight loss, inability to maintain hydration or oral intake.</x:v>
      </x:c>
    </x:row>
    <x:row r="232" ht="38" customHeight="1">
      <x:c r="A232" s="22" t="str">
        <x:v>AS-08-3-C03</x:v>
      </x:c>
      <x:c r="B232" s="22" t="str">
        <x:v>AS-08</x:v>
      </x:c>
      <x:c r="C232" s="22" t="str">
        <x:v>Nutrition / Hydration / Swallowing</x:v>
      </x:c>
      <x:c r="D232" s="22" t="n">
        <x:v>3</x:v>
      </x:c>
      <x:c r="E232" s="22" t="str">
        <x:v>Core</x:v>
      </x:c>
      <x:c r="F232" s="22" t="str">
        <x:v>Track weight/intake/hydration trends and tolerance to supplements.</x:v>
      </x:c>
      <x:c r="G232" s="22" t="str">
        <x:v>Frequent; every meal/snack</x:v>
      </x:c>
      <x:c r="H232" s="22" t="str">
        <x:v>Caregiver + nurse; dietitian/SLP as indicated</x:v>
      </x:c>
      <x:c r="I232" s="22"/>
      <x:c r="J232" s="22" t="str">
        <x:v>Choking, aspiration signs, rapid weight loss, inability to maintain hydration or oral intake.</x:v>
      </x:c>
    </x:row>
    <x:row r="233" ht="38" customHeight="1">
      <x:c r="A233" s="22" t="str">
        <x:v>AS-08-3-C04</x:v>
      </x:c>
      <x:c r="B233" s="22" t="str">
        <x:v>AS-08</x:v>
      </x:c>
      <x:c r="C233" s="22" t="str">
        <x:v>Nutrition / Hydration / Swallowing</x:v>
      </x:c>
      <x:c r="D233" s="22" t="n">
        <x:v>3</x:v>
      </x:c>
      <x:c r="E233" s="22" t="str">
        <x:v>Core</x:v>
      </x:c>
      <x:c r="F233" s="22" t="str">
        <x:v>Coordinate clinical/dietitian/speech review for unresolved concerns.</x:v>
      </x:c>
      <x:c r="G233" s="22" t="str">
        <x:v>Frequent; every meal/snack</x:v>
      </x:c>
      <x:c r="H233" s="22" t="str">
        <x:v>Caregiver + nurse; dietitian/SLP as indicated</x:v>
      </x:c>
      <x:c r="I233" s="22"/>
      <x:c r="J233" s="22" t="str">
        <x:v>Choking, aspiration signs, rapid weight loss, inability to maintain hydration or oral intake.</x:v>
      </x:c>
    </x:row>
    <x:row r="234" ht="38" customHeight="1">
      <x:c r="A234" s="22" t="str">
        <x:v>AS-08-3-X01</x:v>
      </x:c>
      <x:c r="B234" s="22" t="str">
        <x:v>AS-08</x:v>
      </x:c>
      <x:c r="C234" s="22" t="str">
        <x:v>Nutrition / Hydration / Swallowing</x:v>
      </x:c>
      <x:c r="D234" s="22" t="n">
        <x:v>3</x:v>
      </x:c>
      <x:c r="E234" s="22" t="str">
        <x:v>Condition-specific</x:v>
      </x:c>
      <x:c r="F234" s="22" t="str">
        <x:v>follow SLP-prescribed texture/positioning; stop and report coughing/choking/wet voice.</x:v>
      </x:c>
      <x:c r="G234" s="22" t="str">
        <x:v>Frequent; every meal/snack</x:v>
      </x:c>
      <x:c r="H234" s="22" t="str">
        <x:v>Caregiver + nurse; dietitian/SLP as indicated</x:v>
      </x:c>
      <x:c r="I234" s="22" t="str">
        <x:v>Dysphagia</x:v>
      </x:c>
      <x:c r="J234" s="22" t="str">
        <x:v>Choking, aspiration signs, rapid weight loss, inability to maintain hydration or oral intake.</x:v>
      </x:c>
    </x:row>
    <x:row r="235" ht="38" customHeight="1">
      <x:c r="A235" s="22" t="str">
        <x:v>AS-08-3-X02</x:v>
      </x:c>
      <x:c r="B235" s="22" t="str">
        <x:v>AS-08</x:v>
      </x:c>
      <x:c r="C235" s="22" t="str">
        <x:v>Nutrition / Hydration / Swallowing</x:v>
      </x:c>
      <x:c r="D235" s="22" t="n">
        <x:v>3</x:v>
      </x:c>
      <x:c r="E235" s="22" t="str">
        <x:v>Condition-specific</x:v>
      </x:c>
      <x:c r="F235" s="22" t="str">
        <x:v>frequent nutrient-dense intake opportunities per plan.</x:v>
      </x:c>
      <x:c r="G235" s="22" t="str">
        <x:v>Frequent; every meal/snack</x:v>
      </x:c>
      <x:c r="H235" s="22" t="str">
        <x:v>Caregiver + nurse; dietitian/SLP as indicated</x:v>
      </x:c>
      <x:c r="I235" s="22" t="str">
        <x:v>Severe malnutrition</x:v>
      </x:c>
      <x:c r="J235" s="22" t="str">
        <x:v>Choking, aspiration signs, rapid weight loss, inability to maintain hydration or oral intake.</x:v>
      </x:c>
    </x:row>
    <x:row r="236" ht="38" customHeight="1">
      <x:c r="A236" s="22" t="str">
        <x:v>AS-08-4-C01</x:v>
      </x:c>
      <x:c r="B236" s="22" t="str">
        <x:v>AS-08</x:v>
      </x:c>
      <x:c r="C236" s="22" t="str">
        <x:v>Nutrition / Hydration / Swallowing</x:v>
      </x:c>
      <x:c r="D236" s="22" t="n">
        <x:v>4</x:v>
      </x:c>
      <x:c r="E236" s="22" t="str">
        <x:v>Core</x:v>
      </x:c>
      <x:c r="F236" s="22" t="str">
        <x:v>Provide extensive feeding assistance while maintaining dignity and preferred pacing.</x:v>
      </x:c>
      <x:c r="G236" s="22" t="str">
        <x:v>Every intake episode; high-frequency</x:v>
      </x:c>
      <x:c r="H236" s="22" t="str">
        <x:v>Caregiver + nurse; dietitian/SLP as indicated</x:v>
      </x:c>
      <x:c r="I236" s="22"/>
      <x:c r="J236" s="22" t="str">
        <x:v>Recurrent aspiration/choking, inability to hydrate/nourish orally or enteral-feeding needs beyond scope.</x:v>
      </x:c>
    </x:row>
    <x:row r="237" ht="38" customHeight="1">
      <x:c r="A237" s="22" t="str">
        <x:v>AS-08-4-C02</x:v>
      </x:c>
      <x:c r="B237" s="22" t="str">
        <x:v>AS-08</x:v>
      </x:c>
      <x:c r="C237" s="22" t="str">
        <x:v>Nutrition / Hydration / Swallowing</x:v>
      </x:c>
      <x:c r="D237" s="22" t="n">
        <x:v>4</x:v>
      </x:c>
      <x:c r="E237" s="22" t="str">
        <x:v>Core</x:v>
      </x:c>
      <x:c r="F237" s="22" t="str">
        <x:v>Follow all swallowing, texture, positioning and oral-care instructions.</x:v>
      </x:c>
      <x:c r="G237" s="22" t="str">
        <x:v>Every intake episode; high-frequency</x:v>
      </x:c>
      <x:c r="H237" s="22" t="str">
        <x:v>Caregiver + nurse; dietitian/SLP as indicated</x:v>
      </x:c>
      <x:c r="I237" s="22"/>
      <x:c r="J237" s="22" t="str">
        <x:v>Recurrent aspiration/choking, inability to hydrate/nourish orally or enteral-feeding needs beyond scope.</x:v>
      </x:c>
    </x:row>
    <x:row r="238" ht="38" customHeight="1">
      <x:c r="A238" s="22" t="str">
        <x:v>AS-08-4-C03</x:v>
      </x:c>
      <x:c r="B238" s="22" t="str">
        <x:v>AS-08</x:v>
      </x:c>
      <x:c r="C238" s="22" t="str">
        <x:v>Nutrition / Hydration / Swallowing</x:v>
      </x:c>
      <x:c r="D238" s="22" t="n">
        <x:v>4</x:v>
      </x:c>
      <x:c r="E238" s="22" t="str">
        <x:v>Core</x:v>
      </x:c>
      <x:c r="F238" s="22" t="str">
        <x:v>Monitor tolerance, hydration, weight and signs of aspiration closely.</x:v>
      </x:c>
      <x:c r="G238" s="22" t="str">
        <x:v>Every intake episode; high-frequency</x:v>
      </x:c>
      <x:c r="H238" s="22" t="str">
        <x:v>Caregiver + nurse; dietitian/SLP as indicated</x:v>
      </x:c>
      <x:c r="I238" s="22"/>
      <x:c r="J238" s="22" t="str">
        <x:v>Recurrent aspiration/choking, inability to hydrate/nourish orally or enteral-feeding needs beyond scope.</x:v>
      </x:c>
    </x:row>
    <x:row r="239" ht="38" customHeight="1">
      <x:c r="A239" s="22" t="str">
        <x:v>AS-08-4-C04</x:v>
      </x:c>
      <x:c r="B239" s="22" t="str">
        <x:v>AS-08</x:v>
      </x:c>
      <x:c r="C239" s="22" t="str">
        <x:v>Nutrition / Hydration / Swallowing</x:v>
      </x:c>
      <x:c r="D239" s="22" t="n">
        <x:v>4</x:v>
      </x:c>
      <x:c r="E239" s="22" t="str">
        <x:v>Core</x:v>
      </x:c>
      <x:c r="F239" s="22" t="str">
        <x:v>Escalate when oral intake cannot safely/adequately meet needs or care exceeds capability.</x:v>
      </x:c>
      <x:c r="G239" s="22" t="str">
        <x:v>Every intake episode; high-frequency</x:v>
      </x:c>
      <x:c r="H239" s="22" t="str">
        <x:v>Caregiver + nurse; dietitian/SLP as indicated</x:v>
      </x:c>
      <x:c r="I239" s="22"/>
      <x:c r="J239" s="22" t="str">
        <x:v>Recurrent aspiration/choking, inability to hydrate/nourish orally or enteral-feeding needs beyond scope.</x:v>
      </x:c>
    </x:row>
    <x:row r="240" ht="38" customHeight="1">
      <x:c r="A240" s="22" t="str">
        <x:v>AS-08-4-X01</x:v>
      </x:c>
      <x:c r="B240" s="22" t="str">
        <x:v>AS-08</x:v>
      </x:c>
      <x:c r="C240" s="22" t="str">
        <x:v>Nutrition / Hydration / Swallowing</x:v>
      </x:c>
      <x:c r="D240" s="22" t="n">
        <x:v>4</x:v>
      </x:c>
      <x:c r="E240" s="22" t="str">
        <x:v>Condition-specific</x:v>
      </x:c>
      <x:c r="F240" s="22" t="str">
        <x:v>slow hand feeding, cue swallowing, honor comfort-focused plan.</x:v>
      </x:c>
      <x:c r="G240" s="22" t="str">
        <x:v>Every intake episode; high-frequency</x:v>
      </x:c>
      <x:c r="H240" s="22" t="str">
        <x:v>Caregiver + nurse; dietitian/SLP as indicated</x:v>
      </x:c>
      <x:c r="I240" s="22" t="str">
        <x:v>Advanced dementia feeding dependence</x:v>
      </x:c>
      <x:c r="J240" s="22" t="str">
        <x:v>Recurrent aspiration/choking, inability to hydrate/nourish orally or enteral-feeding needs beyond scope.</x:v>
      </x:c>
    </x:row>
    <x:row r="241" ht="38" customHeight="1">
      <x:c r="A241" s="22" t="str">
        <x:v>AS-08-4-X02</x:v>
      </x:c>
      <x:c r="B241" s="22" t="str">
        <x:v>AS-08</x:v>
      </x:c>
      <x:c r="C241" s="22" t="str">
        <x:v>Nutrition / Hydration / Swallowing</x:v>
      </x:c>
      <x:c r="D241" s="22" t="n">
        <x:v>4</x:v>
      </x:c>
      <x:c r="E241" s="22" t="str">
        <x:v>Condition-specific</x:v>
      </x:c>
      <x:c r="F241" s="22" t="str">
        <x:v>strictly follow specialist plan; emergency response for choking.</x:v>
      </x:c>
      <x:c r="G241" s="22" t="str">
        <x:v>Every intake episode; high-frequency</x:v>
      </x:c>
      <x:c r="H241" s="22" t="str">
        <x:v>Caregiver + nurse; dietitian/SLP as indicated</x:v>
      </x:c>
      <x:c r="I241" s="22" t="str">
        <x:v>Severe dysphagia</x:v>
      </x:c>
      <x:c r="J241" s="22" t="str">
        <x:v>Recurrent aspiration/choking, inability to hydrate/nourish orally or enteral-feeding needs beyond scope.</x:v>
      </x:c>
    </x:row>
    <x:row r="242" ht="38" customHeight="1">
      <x:c r="A242" s="22" t="str">
        <x:v>AS-09-0-C01</x:v>
      </x:c>
      <x:c r="B242" s="22" t="str">
        <x:v>AS-09</x:v>
      </x:c>
      <x:c r="C242" s="22" t="str">
        <x:v>Communication</x:v>
      </x:c>
      <x:c r="D242" s="22" t="n">
        <x:v>0</x:v>
      </x:c>
      <x:c r="E242" s="22" t="str">
        <x:v>Core</x:v>
      </x:c>
      <x:c r="F242" s="22" t="str">
        <x:v>Communicate directly with resident using preferred language/method.</x:v>
      </x:c>
      <x:c r="G242" s="22" t="str">
        <x:v>Routine</x:v>
      </x:c>
      <x:c r="H242" s="22" t="str">
        <x:v>Caregiver; SLP/audiology/vision support as indicated</x:v>
      </x:c>
      <x:c r="I242" s="22"/>
      <x:c r="J242" s="22" t="str">
        <x:v>New sensory loss, communication breakdown or acute neurologic change.</x:v>
      </x:c>
    </x:row>
    <x:row r="243" ht="38" customHeight="1">
      <x:c r="A243" s="22" t="str">
        <x:v>AS-09-0-C02</x:v>
      </x:c>
      <x:c r="B243" s="22" t="str">
        <x:v>AS-09</x:v>
      </x:c>
      <x:c r="C243" s="22" t="str">
        <x:v>Communication</x:v>
      </x:c>
      <x:c r="D243" s="22" t="n">
        <x:v>0</x:v>
      </x:c>
      <x:c r="E243" s="22" t="str">
        <x:v>Core</x:v>
      </x:c>
      <x:c r="F243" s="22" t="str">
        <x:v>Ensure normal access to glasses/hearing aids.</x:v>
      </x:c>
      <x:c r="G243" s="22" t="str">
        <x:v>Routine</x:v>
      </x:c>
      <x:c r="H243" s="22" t="str">
        <x:v>Caregiver; SLP/audiology/vision support as indicated</x:v>
      </x:c>
      <x:c r="I243" s="22"/>
      <x:c r="J243" s="22" t="str">
        <x:v>New sensory loss, communication breakdown or acute neurologic change.</x:v>
      </x:c>
    </x:row>
    <x:row r="244" ht="38" customHeight="1">
      <x:c r="A244" s="22" t="str">
        <x:v>AS-09-0-C03</x:v>
      </x:c>
      <x:c r="B244" s="22" t="str">
        <x:v>AS-09</x:v>
      </x:c>
      <x:c r="C244" s="22" t="str">
        <x:v>Communication</x:v>
      </x:c>
      <x:c r="D244" s="22" t="n">
        <x:v>0</x:v>
      </x:c>
      <x:c r="E244" s="22" t="str">
        <x:v>Core</x:v>
      </x:c>
      <x:c r="F244" s="22" t="str">
        <x:v>Include resident in care discussions and decisions.</x:v>
      </x:c>
      <x:c r="G244" s="22" t="str">
        <x:v>Routine</x:v>
      </x:c>
      <x:c r="H244" s="22" t="str">
        <x:v>Caregiver; SLP/audiology/vision support as indicated</x:v>
      </x:c>
      <x:c r="I244" s="22"/>
      <x:c r="J244" s="22" t="str">
        <x:v>New sensory loss, communication breakdown or acute neurologic change.</x:v>
      </x:c>
    </x:row>
    <x:row r="245" ht="38" customHeight="1">
      <x:c r="A245" s="22" t="str">
        <x:v>AS-09-0-C04</x:v>
      </x:c>
      <x:c r="B245" s="22" t="str">
        <x:v>AS-09</x:v>
      </x:c>
      <x:c r="C245" s="22" t="str">
        <x:v>Communication</x:v>
      </x:c>
      <x:c r="D245" s="22" t="n">
        <x:v>0</x:v>
      </x:c>
      <x:c r="E245" s="22" t="str">
        <x:v>Core</x:v>
      </x:c>
      <x:c r="F245" s="22" t="str">
        <x:v>Observe for new hearing, vision, speech or comprehension changes.</x:v>
      </x:c>
      <x:c r="G245" s="22" t="str">
        <x:v>Routine</x:v>
      </x:c>
      <x:c r="H245" s="22" t="str">
        <x:v>Caregiver; SLP/audiology/vision support as indicated</x:v>
      </x:c>
      <x:c r="I245" s="22"/>
      <x:c r="J245" s="22" t="str">
        <x:v>New sensory loss, communication breakdown or acute neurologic change.</x:v>
      </x:c>
    </x:row>
    <x:row r="246" ht="38" customHeight="1">
      <x:c r="A246" s="22" t="str">
        <x:v>AS-09-0-X01</x:v>
      </x:c>
      <x:c r="B246" s="22" t="str">
        <x:v>AS-09</x:v>
      </x:c>
      <x:c r="C246" s="22" t="str">
        <x:v>Communication</x:v>
      </x:c>
      <x:c r="D246" s="22" t="n">
        <x:v>0</x:v>
      </x:c>
      <x:c r="E246" s="22" t="str">
        <x:v>Condition-specific</x:v>
      </x:c>
      <x:c r="F246" s="22" t="str">
        <x:v>use preferred language for important care discussions.</x:v>
      </x:c>
      <x:c r="G246" s="22" t="str">
        <x:v>Routine</x:v>
      </x:c>
      <x:c r="H246" s="22" t="str">
        <x:v>Caregiver; SLP/audiology/vision support as indicated</x:v>
      </x:c>
      <x:c r="I246" s="22" t="str">
        <x:v>Bilingual resident</x:v>
      </x:c>
      <x:c r="J246" s="22" t="str">
        <x:v>New sensory loss, communication breakdown or acute neurologic change.</x:v>
      </x:c>
    </x:row>
    <x:row r="247" ht="38" customHeight="1">
      <x:c r="A247" s="22" t="str">
        <x:v>AS-09-0-X02</x:v>
      </x:c>
      <x:c r="B247" s="22" t="str">
        <x:v>AS-09</x:v>
      </x:c>
      <x:c r="C247" s="22" t="str">
        <x:v>Communication</x:v>
      </x:c>
      <x:c r="D247" s="22" t="n">
        <x:v>0</x:v>
      </x:c>
      <x:c r="E247" s="22" t="str">
        <x:v>Condition-specific</x:v>
      </x:c>
      <x:c r="F247" s="22" t="str">
        <x:v>keep aids clean, charged and accessible.</x:v>
      </x:c>
      <x:c r="G247" s="22" t="str">
        <x:v>Routine</x:v>
      </x:c>
      <x:c r="H247" s="22" t="str">
        <x:v>Caregiver; SLP/audiology/vision support as indicated</x:v>
      </x:c>
      <x:c r="I247" s="22" t="str">
        <x:v>Corrected vision/hearing</x:v>
      </x:c>
      <x:c r="J247" s="22" t="str">
        <x:v>New sensory loss, communication breakdown or acute neurologic change.</x:v>
      </x:c>
    </x:row>
    <x:row r="248" ht="38" customHeight="1">
      <x:c r="A248" s="22" t="str">
        <x:v>AS-09-1-C01</x:v>
      </x:c>
      <x:c r="B248" s="22" t="str">
        <x:v>AS-09</x:v>
      </x:c>
      <x:c r="C248" s="22" t="str">
        <x:v>Communication</x:v>
      </x:c>
      <x:c r="D248" s="22" t="n">
        <x:v>1</x:v>
      </x:c>
      <x:c r="E248" s="22" t="str">
        <x:v>Core</x:v>
      </x:c>
      <x:c r="F248" s="22" t="str">
        <x:v>Reduce background noise and face resident when speaking.</x:v>
      </x:c>
      <x:c r="G248" s="22" t="str">
        <x:v>As needed</x:v>
      </x:c>
      <x:c r="H248" s="22" t="str">
        <x:v>Caregiver; SLP/audiology/vision support as indicated</x:v>
      </x:c>
      <x:c r="I248" s="22"/>
      <x:c r="J248" s="22" t="str">
        <x:v>Regular communication support needed or resident cannot express needs reliably.</x:v>
      </x:c>
    </x:row>
    <x:row r="249" ht="38" customHeight="1">
      <x:c r="A249" s="22" t="str">
        <x:v>AS-09-1-C02</x:v>
      </x:c>
      <x:c r="B249" s="22" t="str">
        <x:v>AS-09</x:v>
      </x:c>
      <x:c r="C249" s="22" t="str">
        <x:v>Communication</x:v>
      </x:c>
      <x:c r="D249" s="22" t="n">
        <x:v>1</x:v>
      </x:c>
      <x:c r="E249" s="22" t="str">
        <x:v>Core</x:v>
      </x:c>
      <x:c r="F249" s="22" t="str">
        <x:v>Provide occasional repetition, written cue or visual prompt.</x:v>
      </x:c>
      <x:c r="G249" s="22" t="str">
        <x:v>As needed</x:v>
      </x:c>
      <x:c r="H249" s="22" t="str">
        <x:v>Caregiver; SLP/audiology/vision support as indicated</x:v>
      </x:c>
      <x:c r="I249" s="22"/>
      <x:c r="J249" s="22" t="str">
        <x:v>Regular communication support needed or resident cannot express needs reliably.</x:v>
      </x:c>
    </x:row>
    <x:row r="250" ht="38" customHeight="1">
      <x:c r="A250" s="22" t="str">
        <x:v>AS-09-1-C03</x:v>
      </x:c>
      <x:c r="B250" s="22" t="str">
        <x:v>AS-09</x:v>
      </x:c>
      <x:c r="C250" s="22" t="str">
        <x:v>Communication</x:v>
      </x:c>
      <x:c r="D250" s="22" t="n">
        <x:v>1</x:v>
      </x:c>
      <x:c r="E250" s="22" t="str">
        <x:v>Core</x:v>
      </x:c>
      <x:c r="F250" s="22" t="str">
        <x:v>Check that glasses/hearing aids are in place before care instructions.</x:v>
      </x:c>
      <x:c r="G250" s="22" t="str">
        <x:v>As needed</x:v>
      </x:c>
      <x:c r="H250" s="22" t="str">
        <x:v>Caregiver; SLP/audiology/vision support as indicated</x:v>
      </x:c>
      <x:c r="I250" s="22"/>
      <x:c r="J250" s="22" t="str">
        <x:v>Regular communication support needed or resident cannot express needs reliably.</x:v>
      </x:c>
    </x:row>
    <x:row r="251" ht="38" customHeight="1">
      <x:c r="A251" s="22" t="str">
        <x:v>AS-09-1-C04</x:v>
      </x:c>
      <x:c r="B251" s="22" t="str">
        <x:v>AS-09</x:v>
      </x:c>
      <x:c r="C251" s="22" t="str">
        <x:v>Communication</x:v>
      </x:c>
      <x:c r="D251" s="22" t="n">
        <x:v>1</x:v>
      </x:c>
      <x:c r="E251" s="22" t="str">
        <x:v>Core</x:v>
      </x:c>
      <x:c r="F251" s="22" t="str">
        <x:v>Allow extra response time.</x:v>
      </x:c>
      <x:c r="G251" s="22" t="str">
        <x:v>As needed</x:v>
      </x:c>
      <x:c r="H251" s="22" t="str">
        <x:v>Caregiver; SLP/audiology/vision support as indicated</x:v>
      </x:c>
      <x:c r="I251" s="22"/>
      <x:c r="J251" s="22" t="str">
        <x:v>Regular communication support needed or resident cannot express needs reliably.</x:v>
      </x:c>
    </x:row>
    <x:row r="252" ht="38" customHeight="1">
      <x:c r="A252" s="22" t="str">
        <x:v>AS-09-1-X01</x:v>
      </x:c>
      <x:c r="B252" s="22" t="str">
        <x:v>AS-09</x:v>
      </x:c>
      <x:c r="C252" s="22" t="str">
        <x:v>Communication</x:v>
      </x:c>
      <x:c r="D252" s="22" t="n">
        <x:v>1</x:v>
      </x:c>
      <x:c r="E252" s="22" t="str">
        <x:v>Condition-specific</x:v>
      </x:c>
      <x:c r="F252" s="22" t="str">
        <x:v>speak clearly at normal pace; do not shout.</x:v>
      </x:c>
      <x:c r="G252" s="22" t="str">
        <x:v>As needed</x:v>
      </x:c>
      <x:c r="H252" s="22" t="str">
        <x:v>Caregiver; SLP/audiology/vision support as indicated</x:v>
      </x:c>
      <x:c r="I252" s="22" t="str">
        <x:v>Hearing loss</x:v>
      </x:c>
      <x:c r="J252" s="22" t="str">
        <x:v>Regular communication support needed or resident cannot express needs reliably.</x:v>
      </x:c>
    </x:row>
    <x:row r="253" ht="38" customHeight="1">
      <x:c r="A253" s="22" t="str">
        <x:v>AS-09-1-X02</x:v>
      </x:c>
      <x:c r="B253" s="22" t="str">
        <x:v>AS-09</x:v>
      </x:c>
      <x:c r="C253" s="22" t="str">
        <x:v>Communication</x:v>
      </x:c>
      <x:c r="D253" s="22" t="n">
        <x:v>1</x:v>
      </x:c>
      <x:c r="E253" s="22" t="str">
        <x:v>Condition-specific</x:v>
      </x:c>
      <x:c r="F253" s="22" t="str">
        <x:v>use high-contrast labels and good lighting.</x:v>
      </x:c>
      <x:c r="G253" s="22" t="str">
        <x:v>As needed</x:v>
      </x:c>
      <x:c r="H253" s="22" t="str">
        <x:v>Caregiver; SLP/audiology/vision support as indicated</x:v>
      </x:c>
      <x:c r="I253" s="22" t="str">
        <x:v>Low vision</x:v>
      </x:c>
      <x:c r="J253" s="22" t="str">
        <x:v>Regular communication support needed or resident cannot express needs reliably.</x:v>
      </x:c>
    </x:row>
    <x:row r="254" ht="38" customHeight="1">
      <x:c r="A254" s="22" t="str">
        <x:v>AS-09-2-C01</x:v>
      </x:c>
      <x:c r="B254" s="22" t="str">
        <x:v>AS-09</x:v>
      </x:c>
      <x:c r="C254" s="22" t="str">
        <x:v>Communication</x:v>
      </x:c>
      <x:c r="D254" s="22" t="n">
        <x:v>2</x:v>
      </x:c>
      <x:c r="E254" s="22" t="str">
        <x:v>Core</x:v>
      </x:c>
      <x:c r="F254" s="22" t="str">
        <x:v>Use consistent communication aids/strategies across staff.</x:v>
      </x:c>
      <x:c r="G254" s="22" t="str">
        <x:v>Regular throughout care</x:v>
      </x:c>
      <x:c r="H254" s="22" t="str">
        <x:v>Caregiver; SLP/audiology/vision support as indicated</x:v>
      </x:c>
      <x:c r="I254" s="22"/>
      <x:c r="J254" s="22" t="str">
        <x:v>Frequent inability to express basic needs, aspiration/speech changes or communication failure affecting safety.</x:v>
      </x:c>
    </x:row>
    <x:row r="255" ht="38" customHeight="1">
      <x:c r="A255" s="22" t="str">
        <x:v>AS-09-2-C02</x:v>
      </x:c>
      <x:c r="B255" s="22" t="str">
        <x:v>AS-09</x:v>
      </x:c>
      <x:c r="C255" s="22" t="str">
        <x:v>Communication</x:v>
      </x:c>
      <x:c r="D255" s="22" t="n">
        <x:v>2</x:v>
      </x:c>
      <x:c r="E255" s="22" t="str">
        <x:v>Core</x:v>
      </x:c>
      <x:c r="F255" s="22" t="str">
        <x:v>Present information in short phrases and confirm understanding.</x:v>
      </x:c>
      <x:c r="G255" s="22" t="str">
        <x:v>Regular throughout care</x:v>
      </x:c>
      <x:c r="H255" s="22" t="str">
        <x:v>Caregiver; SLP/audiology/vision support as indicated</x:v>
      </x:c>
      <x:c r="I255" s="22"/>
      <x:c r="J255" s="22" t="str">
        <x:v>Frequent inability to express basic needs, aspiration/speech changes or communication failure affecting safety.</x:v>
      </x:c>
    </x:row>
    <x:row r="256" ht="38" customHeight="1">
      <x:c r="A256" s="22" t="str">
        <x:v>AS-09-2-C03</x:v>
      </x:c>
      <x:c r="B256" s="22" t="str">
        <x:v>AS-09</x:v>
      </x:c>
      <x:c r="C256" s="22" t="str">
        <x:v>Communication</x:v>
      </x:c>
      <x:c r="D256" s="22" t="n">
        <x:v>2</x:v>
      </x:c>
      <x:c r="E256" s="22" t="str">
        <x:v>Core</x:v>
      </x:c>
      <x:c r="F256" s="22" t="str">
        <x:v>Ensure sensory devices are maintained and available.</x:v>
      </x:c>
      <x:c r="G256" s="22" t="str">
        <x:v>Regular throughout care</x:v>
      </x:c>
      <x:c r="H256" s="22" t="str">
        <x:v>Caregiver; SLP/audiology/vision support as indicated</x:v>
      </x:c>
      <x:c r="I256" s="22"/>
      <x:c r="J256" s="22" t="str">
        <x:v>Frequent inability to express basic needs, aspiration/speech changes or communication failure affecting safety.</x:v>
      </x:c>
    </x:row>
    <x:row r="257" ht="38" customHeight="1">
      <x:c r="A257" s="22" t="str">
        <x:v>AS-09-2-C04</x:v>
      </x:c>
      <x:c r="B257" s="22" t="str">
        <x:v>AS-09</x:v>
      </x:c>
      <x:c r="C257" s="22" t="str">
        <x:v>Communication</x:v>
      </x:c>
      <x:c r="D257" s="22" t="n">
        <x:v>2</x:v>
      </x:c>
      <x:c r="E257" s="22" t="str">
        <x:v>Core</x:v>
      </x:c>
      <x:c r="F257" s="22" t="str">
        <x:v>Document effective communication methods and resident preferences.</x:v>
      </x:c>
      <x:c r="G257" s="22" t="str">
        <x:v>Regular throughout care</x:v>
      </x:c>
      <x:c r="H257" s="22" t="str">
        <x:v>Caregiver; SLP/audiology/vision support as indicated</x:v>
      </x:c>
      <x:c r="I257" s="22"/>
      <x:c r="J257" s="22" t="str">
        <x:v>Frequent inability to express basic needs, aspiration/speech changes or communication failure affecting safety.</x:v>
      </x:c>
    </x:row>
    <x:row r="258" ht="38" customHeight="1">
      <x:c r="A258" s="22" t="str">
        <x:v>AS-09-2-X01</x:v>
      </x:c>
      <x:c r="B258" s="22" t="str">
        <x:v>AS-09</x:v>
      </x:c>
      <x:c r="C258" s="22" t="str">
        <x:v>Communication</x:v>
      </x:c>
      <x:c r="D258" s="22" t="n">
        <x:v>2</x:v>
      </x:c>
      <x:c r="E258" s="22" t="str">
        <x:v>Condition-specific</x:v>
      </x:c>
      <x:c r="F258" s="22" t="str">
        <x:v>use pictures/gestures/yes-no questions and allow time.</x:v>
      </x:c>
      <x:c r="G258" s="22" t="str">
        <x:v>Regular throughout care</x:v>
      </x:c>
      <x:c r="H258" s="22" t="str">
        <x:v>Caregiver; SLP/audiology/vision support as indicated</x:v>
      </x:c>
      <x:c r="I258" s="22" t="str">
        <x:v>Aphasia</x:v>
      </x:c>
      <x:c r="J258" s="22" t="str">
        <x:v>Frequent inability to express basic needs, aspiration/speech changes or communication failure affecting safety.</x:v>
      </x:c>
    </x:row>
    <x:row r="259" ht="38" customHeight="1">
      <x:c r="A259" s="22" t="str">
        <x:v>AS-09-2-X02</x:v>
      </x:c>
      <x:c r="B259" s="22" t="str">
        <x:v>AS-09</x:v>
      </x:c>
      <x:c r="C259" s="22" t="str">
        <x:v>Communication</x:v>
      </x:c>
      <x:c r="D259" s="22" t="n">
        <x:v>2</x:v>
      </x:c>
      <x:c r="E259" s="22" t="str">
        <x:v>Condition-specific</x:v>
      </x:c>
      <x:c r="F259" s="22" t="str">
        <x:v>simple language plus visual demonstration.</x:v>
      </x:c>
      <x:c r="G259" s="22" t="str">
        <x:v>Regular throughout care</x:v>
      </x:c>
      <x:c r="H259" s="22" t="str">
        <x:v>Caregiver; SLP/audiology/vision support as indicated</x:v>
      </x:c>
      <x:c r="I259" s="22" t="str">
        <x:v>Dementia</x:v>
      </x:c>
      <x:c r="J259" s="22" t="str">
        <x:v>Frequent inability to express basic needs, aspiration/speech changes or communication failure affecting safety.</x:v>
      </x:c>
    </x:row>
    <x:row r="260" ht="38" customHeight="1">
      <x:c r="A260" s="22" t="str">
        <x:v>AS-09-3-C01</x:v>
      </x:c>
      <x:c r="B260" s="22" t="str">
        <x:v>AS-09</x:v>
      </x:c>
      <x:c r="C260" s="22" t="str">
        <x:v>Communication</x:v>
      </x:c>
      <x:c r="D260" s="22" t="n">
        <x:v>3</x:v>
      </x:c>
      <x:c r="E260" s="22" t="str">
        <x:v>Core</x:v>
      </x:c>
      <x:c r="F260" s="22" t="str">
        <x:v>Use individualized communication plan during most interactions.</x:v>
      </x:c>
      <x:c r="G260" s="22" t="str">
        <x:v>Frequent / most interactions</x:v>
      </x:c>
      <x:c r="H260" s="22" t="str">
        <x:v>Caregiver; SLP/audiology/vision support as indicated</x:v>
      </x:c>
      <x:c r="I260" s="22"/>
      <x:c r="J260" s="22" t="str">
        <x:v>Resident cannot communicate pain/basic needs reliably or sudden speech change.</x:v>
      </x:c>
    </x:row>
    <x:row r="261" ht="38" customHeight="1">
      <x:c r="A261" s="22" t="str">
        <x:v>AS-09-3-C02</x:v>
      </x:c>
      <x:c r="B261" s="22" t="str">
        <x:v>AS-09</x:v>
      </x:c>
      <x:c r="C261" s="22" t="str">
        <x:v>Communication</x:v>
      </x:c>
      <x:c r="D261" s="22" t="n">
        <x:v>3</x:v>
      </x:c>
      <x:c r="E261" s="22" t="str">
        <x:v>Core</x:v>
      </x:c>
      <x:c r="F261" s="22" t="str">
        <x:v>Anticipate needs and confirm through gestures, behavior and context.</x:v>
      </x:c>
      <x:c r="G261" s="22" t="str">
        <x:v>Frequent / most interactions</x:v>
      </x:c>
      <x:c r="H261" s="22" t="str">
        <x:v>Caregiver; SLP/audiology/vision support as indicated</x:v>
      </x:c>
      <x:c r="I261" s="22"/>
      <x:c r="J261" s="22" t="str">
        <x:v>Resident cannot communicate pain/basic needs reliably or sudden speech change.</x:v>
      </x:c>
    </x:row>
    <x:row r="262" ht="38" customHeight="1">
      <x:c r="A262" s="22" t="str">
        <x:v>AS-09-3-C03</x:v>
      </x:c>
      <x:c r="B262" s="22" t="str">
        <x:v>AS-09</x:v>
      </x:c>
      <x:c r="C262" s="22" t="str">
        <x:v>Communication</x:v>
      </x:c>
      <x:c r="D262" s="22" t="n">
        <x:v>3</x:v>
      </x:c>
      <x:c r="E262" s="22" t="str">
        <x:v>Core</x:v>
      </x:c>
      <x:c r="F262" s="22" t="str">
        <x:v>Limit questions to one concept at a time and use visual/tactile cues as appropriate.</x:v>
      </x:c>
      <x:c r="G262" s="22" t="str">
        <x:v>Frequent / most interactions</x:v>
      </x:c>
      <x:c r="H262" s="22" t="str">
        <x:v>Caregiver; SLP/audiology/vision support as indicated</x:v>
      </x:c>
      <x:c r="I262" s="22"/>
      <x:c r="J262" s="22" t="str">
        <x:v>Resident cannot communicate pain/basic needs reliably or sudden speech change.</x:v>
      </x:c>
    </x:row>
    <x:row r="263" ht="38" customHeight="1">
      <x:c r="A263" s="22" t="str">
        <x:v>AS-09-3-C04</x:v>
      </x:c>
      <x:c r="B263" s="22" t="str">
        <x:v>AS-09</x:v>
      </x:c>
      <x:c r="C263" s="22" t="str">
        <x:v>Communication</x:v>
      </x:c>
      <x:c r="D263" s="22" t="n">
        <x:v>3</x:v>
      </x:c>
      <x:c r="E263" s="22" t="str">
        <x:v>Core</x:v>
      </x:c>
      <x:c r="F263" s="22" t="str">
        <x:v>Coordinate speech/hearing/vision evaluation when indicated.</x:v>
      </x:c>
      <x:c r="G263" s="22" t="str">
        <x:v>Frequent / most interactions</x:v>
      </x:c>
      <x:c r="H263" s="22" t="str">
        <x:v>Caregiver; SLP/audiology/vision support as indicated</x:v>
      </x:c>
      <x:c r="I263" s="22"/>
      <x:c r="J263" s="22" t="str">
        <x:v>Resident cannot communicate pain/basic needs reliably or sudden speech change.</x:v>
      </x:c>
    </x:row>
    <x:row r="264" ht="38" customHeight="1">
      <x:c r="A264" s="22" t="str">
        <x:v>AS-09-3-X01</x:v>
      </x:c>
      <x:c r="B264" s="22" t="str">
        <x:v>AS-09</x:v>
      </x:c>
      <x:c r="C264" s="22" t="str">
        <x:v>Communication</x:v>
      </x:c>
      <x:c r="D264" s="22" t="n">
        <x:v>3</x:v>
      </x:c>
      <x:c r="E264" s="22" t="str">
        <x:v>Condition-specific</x:v>
      </x:c>
      <x:c r="F264" s="22" t="str">
        <x:v>use communication board and consistent yes/no signal.</x:v>
      </x:c>
      <x:c r="G264" s="22" t="str">
        <x:v>Frequent / most interactions</x:v>
      </x:c>
      <x:c r="H264" s="22" t="str">
        <x:v>Caregiver; SLP/audiology/vision support as indicated</x:v>
      </x:c>
      <x:c r="I264" s="22" t="str">
        <x:v>Post-stroke aphasia</x:v>
      </x:c>
      <x:c r="J264" s="22" t="str">
        <x:v>Resident cannot communicate pain/basic needs reliably or sudden speech change.</x:v>
      </x:c>
    </x:row>
    <x:row r="265" ht="38" customHeight="1">
      <x:c r="A265" s="22" t="str">
        <x:v>AS-09-3-X02</x:v>
      </x:c>
      <x:c r="B265" s="22" t="str">
        <x:v>AS-09</x:v>
      </x:c>
      <x:c r="C265" s="22" t="str">
        <x:v>Communication</x:v>
      </x:c>
      <x:c r="D265" s="22" t="n">
        <x:v>3</x:v>
      </x:c>
      <x:c r="E265" s="22" t="str">
        <x:v>Condition-specific</x:v>
      </x:c>
      <x:c r="F265" s="22" t="str">
        <x:v>written/visual communication if resident can use it.</x:v>
      </x:c>
      <x:c r="G265" s="22" t="str">
        <x:v>Frequent / most interactions</x:v>
      </x:c>
      <x:c r="H265" s="22" t="str">
        <x:v>Caregiver; SLP/audiology/vision support as indicated</x:v>
      </x:c>
      <x:c r="I265" s="22" t="str">
        <x:v>Severe hearing loss</x:v>
      </x:c>
      <x:c r="J265" s="22" t="str">
        <x:v>Resident cannot communicate pain/basic needs reliably or sudden speech change.</x:v>
      </x:c>
    </x:row>
    <x:row r="266" ht="38" customHeight="1">
      <x:c r="A266" s="22" t="str">
        <x:v>AS-09-4-C01</x:v>
      </x:c>
      <x:c r="B266" s="22" t="str">
        <x:v>AS-09</x:v>
      </x:c>
      <x:c r="C266" s="22" t="str">
        <x:v>Communication</x:v>
      </x:c>
      <x:c r="D266" s="22" t="n">
        <x:v>4</x:v>
      </x:c>
      <x:c r="E266" s="22" t="str">
        <x:v>Core</x:v>
      </x:c>
      <x:c r="F266" s="22" t="str">
        <x:v>Use consistent individualized verbal and non-verbal communication at all care encounters.</x:v>
      </x:c>
      <x:c r="G266" s="22" t="str">
        <x:v>Continuous across care day</x:v>
      </x:c>
      <x:c r="H266" s="22" t="str">
        <x:v>Caregiver; SLP/audiology/vision support as indicated</x:v>
      </x:c>
      <x:c r="I266" s="22"/>
      <x:c r="J266" s="22" t="str">
        <x:v>New unresponsiveness, acute neurologic change or inability to meet needs safely.</x:v>
      </x:c>
    </x:row>
    <x:row r="267" ht="38" customHeight="1">
      <x:c r="A267" s="22" t="str">
        <x:v>AS-09-4-C02</x:v>
      </x:c>
      <x:c r="B267" s="22" t="str">
        <x:v>AS-09</x:v>
      </x:c>
      <x:c r="C267" s="22" t="str">
        <x:v>Communication</x:v>
      </x:c>
      <x:c r="D267" s="22" t="n">
        <x:v>4</x:v>
      </x:c>
      <x:c r="E267" s="22" t="str">
        <x:v>Core</x:v>
      </x:c>
      <x:c r="F267" s="22" t="str">
        <x:v>Interpret behavior/non-verbal cues for pain, fear, hunger, toileting and comfort.</x:v>
      </x:c>
      <x:c r="G267" s="22" t="str">
        <x:v>Continuous across care day</x:v>
      </x:c>
      <x:c r="H267" s="22" t="str">
        <x:v>Caregiver; SLP/audiology/vision support as indicated</x:v>
      </x:c>
      <x:c r="I267" s="22"/>
      <x:c r="J267" s="22" t="str">
        <x:v>New unresponsiveness, acute neurologic change or inability to meet needs safely.</x:v>
      </x:c>
    </x:row>
    <x:row r="268" ht="38" customHeight="1">
      <x:c r="A268" s="22" t="str">
        <x:v>AS-09-4-C03</x:v>
      </x:c>
      <x:c r="B268" s="22" t="str">
        <x:v>AS-09</x:v>
      </x:c>
      <x:c r="C268" s="22" t="str">
        <x:v>Communication</x:v>
      </x:c>
      <x:c r="D268" s="22" t="n">
        <x:v>4</x:v>
      </x:c>
      <x:c r="E268" s="22" t="str">
        <x:v>Core</x:v>
      </x:c>
      <x:c r="F268" s="22" t="str">
        <x:v>Offer simple choices using objects, pictures or gestures.</x:v>
      </x:c>
      <x:c r="G268" s="22" t="str">
        <x:v>Continuous across care day</x:v>
      </x:c>
      <x:c r="H268" s="22" t="str">
        <x:v>Caregiver; SLP/audiology/vision support as indicated</x:v>
      </x:c>
      <x:c r="I268" s="22"/>
      <x:c r="J268" s="22" t="str">
        <x:v>New unresponsiveness, acute neurologic change or inability to meet needs safely.</x:v>
      </x:c>
    </x:row>
    <x:row r="269" ht="38" customHeight="1">
      <x:c r="A269" s="22" t="str">
        <x:v>AS-09-4-C04</x:v>
      </x:c>
      <x:c r="B269" s="22" t="str">
        <x:v>AS-09</x:v>
      </x:c>
      <x:c r="C269" s="22" t="str">
        <x:v>Communication</x:v>
      </x:c>
      <x:c r="D269" s="22" t="n">
        <x:v>4</x:v>
      </x:c>
      <x:c r="E269" s="22" t="str">
        <x:v>Core</x:v>
      </x:c>
      <x:c r="F269" s="22" t="str">
        <x:v>Share successful signals/cues across all caregivers.</x:v>
      </x:c>
      <x:c r="G269" s="22" t="str">
        <x:v>Continuous across care day</x:v>
      </x:c>
      <x:c r="H269" s="22" t="str">
        <x:v>Caregiver; SLP/audiology/vision support as indicated</x:v>
      </x:c>
      <x:c r="I269" s="22"/>
      <x:c r="J269" s="22" t="str">
        <x:v>New unresponsiveness, acute neurologic change or inability to meet needs safely.</x:v>
      </x:c>
    </x:row>
    <x:row r="270" ht="38" customHeight="1">
      <x:c r="A270" s="22" t="str">
        <x:v>AS-09-4-X01</x:v>
      </x:c>
      <x:c r="B270" s="22" t="str">
        <x:v>AS-09</x:v>
      </x:c>
      <x:c r="C270" s="22" t="str">
        <x:v>Communication</x:v>
      </x:c>
      <x:c r="D270" s="22" t="n">
        <x:v>4</x:v>
      </x:c>
      <x:c r="E270" s="22" t="str">
        <x:v>Condition-specific</x:v>
      </x:c>
      <x:c r="F270" s="22" t="str">
        <x:v>rely on facial expression, body language and familiar sensory cues.</x:v>
      </x:c>
      <x:c r="G270" s="22" t="str">
        <x:v>Continuous across care day</x:v>
      </x:c>
      <x:c r="H270" s="22" t="str">
        <x:v>Caregiver; SLP/audiology/vision support as indicated</x:v>
      </x:c>
      <x:c r="I270" s="22" t="str">
        <x:v>Advanced dementia</x:v>
      </x:c>
      <x:c r="J270" s="22" t="str">
        <x:v>New unresponsiveness, acute neurologic change or inability to meet needs safely.</x:v>
      </x:c>
    </x:row>
    <x:row r="271" ht="38" customHeight="1">
      <x:c r="A271" s="22" t="str">
        <x:v>AS-09-4-X02</x:v>
      </x:c>
      <x:c r="B271" s="22" t="str">
        <x:v>AS-09</x:v>
      </x:c>
      <x:c r="C271" s="22" t="str">
        <x:v>Communication</x:v>
      </x:c>
      <x:c r="D271" s="22" t="n">
        <x:v>4</x:v>
      </x:c>
      <x:c r="E271" s="22" t="str">
        <x:v>Condition-specific</x:v>
      </x:c>
      <x:c r="F271" s="22" t="str">
        <x:v>use established augmentative communication method if available.</x:v>
      </x:c>
      <x:c r="G271" s="22" t="str">
        <x:v>Continuous across care day</x:v>
      </x:c>
      <x:c r="H271" s="22" t="str">
        <x:v>Caregiver; SLP/audiology/vision support as indicated</x:v>
      </x:c>
      <x:c r="I271" s="22" t="str">
        <x:v>Severe aphasia</x:v>
      </x:c>
      <x:c r="J271" s="22" t="str">
        <x:v>New unresponsiveness, acute neurologic change or inability to meet needs safely.</x:v>
      </x:c>
    </x:row>
    <x:row r="272" ht="38" customHeight="1">
      <x:c r="A272" s="22" t="str">
        <x:v>AS-10-0-C01</x:v>
      </x:c>
      <x:c r="B272" s="22" t="str">
        <x:v>AS-10</x:v>
      </x:c>
      <x:c r="C272" s="22" t="str">
        <x:v>Continence / Toileting</x:v>
      </x:c>
      <x:c r="D272" s="22" t="n">
        <x:v>0</x:v>
      </x:c>
      <x:c r="E272" s="22" t="str">
        <x:v>Core</x:v>
      </x:c>
      <x:c r="F272" s="22" t="str">
        <x:v>Allow independent toileting and privacy.</x:v>
      </x:c>
      <x:c r="G272" s="22" t="str">
        <x:v>Routine</x:v>
      </x:c>
      <x:c r="H272" s="22" t="str">
        <x:v>Caregiver + nurse</x:v>
      </x:c>
      <x:c r="I272" s="22"/>
      <x:c r="J272" s="22" t="str">
        <x:v>New incontinence, urinary symptoms, constipation or need for assistance.</x:v>
      </x:c>
    </x:row>
    <x:row r="273" ht="38" customHeight="1">
      <x:c r="A273" s="22" t="str">
        <x:v>AS-10-0-C02</x:v>
      </x:c>
      <x:c r="B273" s="22" t="str">
        <x:v>AS-10</x:v>
      </x:c>
      <x:c r="C273" s="22" t="str">
        <x:v>Continence / Toileting</x:v>
      </x:c>
      <x:c r="D273" s="22" t="n">
        <x:v>0</x:v>
      </x:c>
      <x:c r="E273" s="22" t="str">
        <x:v>Core</x:v>
      </x:c>
      <x:c r="F273" s="22" t="str">
        <x:v>Keep bathroom route clear and supplies accessible.</x:v>
      </x:c>
      <x:c r="G273" s="22" t="str">
        <x:v>Routine</x:v>
      </x:c>
      <x:c r="H273" s="22" t="str">
        <x:v>Caregiver + nurse</x:v>
      </x:c>
      <x:c r="I273" s="22"/>
      <x:c r="J273" s="22" t="str">
        <x:v>New incontinence, urinary symptoms, constipation or need for assistance.</x:v>
      </x:c>
    </x:row>
    <x:row r="274" ht="38" customHeight="1">
      <x:c r="A274" s="22" t="str">
        <x:v>AS-10-0-C03</x:v>
      </x:c>
      <x:c r="B274" s="22" t="str">
        <x:v>AS-10</x:v>
      </x:c>
      <x:c r="C274" s="22" t="str">
        <x:v>Continence / Toileting</x:v>
      </x:c>
      <x:c r="D274" s="22" t="n">
        <x:v>0</x:v>
      </x:c>
      <x:c r="E274" s="22" t="str">
        <x:v>Core</x:v>
      </x:c>
      <x:c r="F274" s="22" t="str">
        <x:v>Respect usual toileting schedule and hygiene products.</x:v>
      </x:c>
      <x:c r="G274" s="22" t="str">
        <x:v>Routine</x:v>
      </x:c>
      <x:c r="H274" s="22" t="str">
        <x:v>Caregiver + nurse</x:v>
      </x:c>
      <x:c r="I274" s="22"/>
      <x:c r="J274" s="22" t="str">
        <x:v>New incontinence, urinary symptoms, constipation or need for assistance.</x:v>
      </x:c>
    </x:row>
    <x:row r="275" ht="38" customHeight="1">
      <x:c r="A275" s="22" t="str">
        <x:v>AS-10-0-C04</x:v>
      </x:c>
      <x:c r="B275" s="22" t="str">
        <x:v>AS-10</x:v>
      </x:c>
      <x:c r="C275" s="22" t="str">
        <x:v>Continence / Toileting</x:v>
      </x:c>
      <x:c r="D275" s="22" t="n">
        <x:v>0</x:v>
      </x:c>
      <x:c r="E275" s="22" t="str">
        <x:v>Core</x:v>
      </x:c>
      <x:c r="F275" s="22" t="str">
        <x:v>Observe for new urgency, accidents, constipation or urinary symptoms.</x:v>
      </x:c>
      <x:c r="G275" s="22" t="str">
        <x:v>Routine</x:v>
      </x:c>
      <x:c r="H275" s="22" t="str">
        <x:v>Caregiver + nurse</x:v>
      </x:c>
      <x:c r="I275" s="22"/>
      <x:c r="J275" s="22" t="str">
        <x:v>New incontinence, urinary symptoms, constipation or need for assistance.</x:v>
      </x:c>
    </x:row>
    <x:row r="276" ht="38" customHeight="1">
      <x:c r="A276" s="22" t="str">
        <x:v>AS-10-0-X01</x:v>
      </x:c>
      <x:c r="B276" s="22" t="str">
        <x:v>AS-10</x:v>
      </x:c>
      <x:c r="C276" s="22" t="str">
        <x:v>Continence / Toileting</x:v>
      </x:c>
      <x:c r="D276" s="22" t="n">
        <x:v>0</x:v>
      </x:c>
      <x:c r="E276" s="22" t="str">
        <x:v>Condition-specific</x:v>
      </x:c>
      <x:c r="F276" s="22" t="str">
        <x:v>encourage usual hydration and report new urinary symptoms.</x:v>
      </x:c>
      <x:c r="G276" s="22" t="str">
        <x:v>Routine</x:v>
      </x:c>
      <x:c r="H276" s="22" t="str">
        <x:v>Caregiver + nurse</x:v>
      </x:c>
      <x:c r="I276" s="22" t="str">
        <x:v>History of UTI</x:v>
      </x:c>
      <x:c r="J276" s="22" t="str">
        <x:v>New incontinence, urinary symptoms, constipation or need for assistance.</x:v>
      </x:c>
    </x:row>
    <x:row r="277" ht="38" customHeight="1">
      <x:c r="A277" s="22" t="str">
        <x:v>AS-10-0-X02</x:v>
      </x:c>
      <x:c r="B277" s="22" t="str">
        <x:v>AS-10</x:v>
      </x:c>
      <x:c r="C277" s="22" t="str">
        <x:v>Continence / Toileting</x:v>
      </x:c>
      <x:c r="D277" s="22" t="n">
        <x:v>0</x:v>
      </x:c>
      <x:c r="E277" s="22" t="str">
        <x:v>Condition-specific</x:v>
      </x:c>
      <x:c r="F277" s="22" t="str">
        <x:v>support usual diet/activity plan.</x:v>
      </x:c>
      <x:c r="G277" s="22" t="str">
        <x:v>Routine</x:v>
      </x:c>
      <x:c r="H277" s="22" t="str">
        <x:v>Caregiver + nurse</x:v>
      </x:c>
      <x:c r="I277" s="22" t="str">
        <x:v>Constipation tendency</x:v>
      </x:c>
      <x:c r="J277" s="22" t="str">
        <x:v>New incontinence, urinary symptoms, constipation or need for assistance.</x:v>
      </x:c>
    </x:row>
    <x:row r="278" ht="38" customHeight="1">
      <x:c r="A278" s="22" t="str">
        <x:v>AS-10-1-C01</x:v>
      </x:c>
      <x:c r="B278" s="22" t="str">
        <x:v>AS-10</x:v>
      </x:c>
      <x:c r="C278" s="22" t="str">
        <x:v>Continence / Toileting</x:v>
      </x:c>
      <x:c r="D278" s="22" t="n">
        <x:v>1</x:v>
      </x:c>
      <x:c r="E278" s="22" t="str">
        <x:v>Core</x:v>
      </x:c>
      <x:c r="F278" s="22" t="str">
        <x:v>Provide occasional reminders, setup or standby assistance for toileting.</x:v>
      </x:c>
      <x:c r="G278" s="22" t="str">
        <x:v>Occasional / as needed</x:v>
      </x:c>
      <x:c r="H278" s="22" t="str">
        <x:v>Caregiver + nurse</x:v>
      </x:c>
      <x:c r="I278" s="22"/>
      <x:c r="J278" s="22" t="str">
        <x:v>Regular toileting assistance, repeated accidents or skin irritation.</x:v>
      </x:c>
    </x:row>
    <x:row r="279" ht="38" customHeight="1">
      <x:c r="A279" s="22" t="str">
        <x:v>AS-10-1-C02</x:v>
      </x:c>
      <x:c r="B279" s="22" t="str">
        <x:v>AS-10</x:v>
      </x:c>
      <x:c r="C279" s="22" t="str">
        <x:v>Continence / Toileting</x:v>
      </x:c>
      <x:c r="D279" s="22" t="n">
        <x:v>1</x:v>
      </x:c>
      <x:c r="E279" s="22" t="str">
        <x:v>Core</x:v>
      </x:c>
      <x:c r="F279" s="22" t="str">
        <x:v>Ensure clothing/continence supplies are easy to manage.</x:v>
      </x:c>
      <x:c r="G279" s="22" t="str">
        <x:v>Occasional / as needed</x:v>
      </x:c>
      <x:c r="H279" s="22" t="str">
        <x:v>Caregiver + nurse</x:v>
      </x:c>
      <x:c r="I279" s="22"/>
      <x:c r="J279" s="22" t="str">
        <x:v>Regular toileting assistance, repeated accidents or skin irritation.</x:v>
      </x:c>
    </x:row>
    <x:row r="280" ht="38" customHeight="1">
      <x:c r="A280" s="22" t="str">
        <x:v>AS-10-1-C03</x:v>
      </x:c>
      <x:c r="B280" s="22" t="str">
        <x:v>AS-10</x:v>
      </x:c>
      <x:c r="C280" s="22" t="str">
        <x:v>Continence / Toileting</x:v>
      </x:c>
      <x:c r="D280" s="22" t="n">
        <x:v>1</x:v>
      </x:c>
      <x:c r="E280" s="22" t="str">
        <x:v>Core</x:v>
      </x:c>
      <x:c r="F280" s="22" t="str">
        <x:v>Prompt before outings/bedtime if consistent with preference.</x:v>
      </x:c>
      <x:c r="G280" s="22" t="str">
        <x:v>Occasional / as needed</x:v>
      </x:c>
      <x:c r="H280" s="22" t="str">
        <x:v>Caregiver + nurse</x:v>
      </x:c>
      <x:c r="I280" s="22"/>
      <x:c r="J280" s="22" t="str">
        <x:v>Regular toileting assistance, repeated accidents or skin irritation.</x:v>
      </x:c>
    </x:row>
    <x:row r="281" ht="38" customHeight="1">
      <x:c r="A281" s="22" t="str">
        <x:v>AS-10-1-C04</x:v>
      </x:c>
      <x:c r="B281" s="22" t="str">
        <x:v>AS-10</x:v>
      </x:c>
      <x:c r="C281" s="22" t="str">
        <x:v>Continence / Toileting</x:v>
      </x:c>
      <x:c r="D281" s="22" t="n">
        <x:v>1</x:v>
      </x:c>
      <x:c r="E281" s="22" t="str">
        <x:v>Core</x:v>
      </x:c>
      <x:c r="F281" s="22" t="str">
        <x:v>Document new accidents or increasing cueing need.</x:v>
      </x:c>
      <x:c r="G281" s="22" t="str">
        <x:v>Occasional / as needed</x:v>
      </x:c>
      <x:c r="H281" s="22" t="str">
        <x:v>Caregiver + nurse</x:v>
      </x:c>
      <x:c r="I281" s="22"/>
      <x:c r="J281" s="22" t="str">
        <x:v>Regular toileting assistance, repeated accidents or skin irritation.</x:v>
      </x:c>
    </x:row>
    <x:row r="282" ht="38" customHeight="1">
      <x:c r="A282" s="22" t="str">
        <x:v>AS-10-1-X01</x:v>
      </x:c>
      <x:c r="B282" s="22" t="str">
        <x:v>AS-10</x:v>
      </x:c>
      <x:c r="C282" s="22" t="str">
        <x:v>Continence / Toileting</x:v>
      </x:c>
      <x:c r="D282" s="22" t="n">
        <x:v>1</x:v>
      </x:c>
      <x:c r="E282" s="22" t="str">
        <x:v>Condition-specific</x:v>
      </x:c>
      <x:c r="F282" s="22" t="str">
        <x:v>scheduled reminders at familiar times.</x:v>
      </x:c>
      <x:c r="G282" s="22" t="str">
        <x:v>Occasional / as needed</x:v>
      </x:c>
      <x:c r="H282" s="22" t="str">
        <x:v>Caregiver + nurse</x:v>
      </x:c>
      <x:c r="I282" s="22" t="str">
        <x:v>Early dementia</x:v>
      </x:c>
      <x:c r="J282" s="22" t="str">
        <x:v>Regular toileting assistance, repeated accidents or skin irritation.</x:v>
      </x:c>
    </x:row>
    <x:row r="283" ht="38" customHeight="1">
      <x:c r="A283" s="22" t="str">
        <x:v>AS-10-1-X02</x:v>
      </x:c>
      <x:c r="B283" s="22" t="str">
        <x:v>AS-10</x:v>
      </x:c>
      <x:c r="C283" s="22" t="str">
        <x:v>Continence / Toileting</x:v>
      </x:c>
      <x:c r="D283" s="22" t="n">
        <x:v>1</x:v>
      </x:c>
      <x:c r="E283" s="22" t="str">
        <x:v>Condition-specific</x:v>
      </x:c>
      <x:c r="F283" s="22" t="str">
        <x:v>ensure device is positioned for bathroom access.</x:v>
      </x:c>
      <x:c r="G283" s="22" t="str">
        <x:v>Occasional / as needed</x:v>
      </x:c>
      <x:c r="H283" s="22" t="str">
        <x:v>Caregiver + nurse</x:v>
      </x:c>
      <x:c r="I283" s="22" t="str">
        <x:v>Mobility limitation</x:v>
      </x:c>
      <x:c r="J283" s="22" t="str">
        <x:v>Regular toileting assistance, repeated accidents or skin irritation.</x:v>
      </x:c>
    </x:row>
    <x:row r="284" ht="38" customHeight="1">
      <x:c r="A284" s="22" t="str">
        <x:v>AS-10-2-C01</x:v>
      </x:c>
      <x:c r="B284" s="22" t="str">
        <x:v>AS-10</x:v>
      </x:c>
      <x:c r="C284" s="22" t="str">
        <x:v>Continence / Toileting</x:v>
      </x:c>
      <x:c r="D284" s="22" t="n">
        <x:v>2</x:v>
      </x:c>
      <x:c r="E284" s="22" t="str">
        <x:v>Core</x:v>
      </x:c>
      <x:c r="F284" s="22" t="str">
        <x:v>Provide regular toileting assistance or continence care on individualized schedule.</x:v>
      </x:c>
      <x:c r="G284" s="22" t="str">
        <x:v>Regular / scheduled and as needed</x:v>
      </x:c>
      <x:c r="H284" s="22" t="str">
        <x:v>Caregiver + nurse</x:v>
      </x:c>
      <x:c r="I284" s="22"/>
      <x:c r="J284" s="22" t="str">
        <x:v>Frequent diaper care workload, skin breakdown, retention, recurrent UTI or constipation.</x:v>
      </x:c>
    </x:row>
    <x:row r="285" ht="38" customHeight="1">
      <x:c r="A285" s="22" t="str">
        <x:v>AS-10-2-C02</x:v>
      </x:c>
      <x:c r="B285" s="22" t="str">
        <x:v>AS-10</x:v>
      </x:c>
      <x:c r="C285" s="22" t="str">
        <x:v>Continence / Toileting</x:v>
      </x:c>
      <x:c r="D285" s="22" t="n">
        <x:v>2</x:v>
      </x:c>
      <x:c r="E285" s="22" t="str">
        <x:v>Core</x:v>
      </x:c>
      <x:c r="F285" s="22" t="str">
        <x:v>Assist with clothing, transfer, cleansing and product change as needed.</x:v>
      </x:c>
      <x:c r="G285" s="22" t="str">
        <x:v>Regular / scheduled and as needed</x:v>
      </x:c>
      <x:c r="H285" s="22" t="str">
        <x:v>Caregiver + nurse</x:v>
      </x:c>
      <x:c r="I285" s="22"/>
      <x:c r="J285" s="22" t="str">
        <x:v>Frequent diaper care workload, skin breakdown, retention, recurrent UTI or constipation.</x:v>
      </x:c>
    </x:row>
    <x:row r="286" ht="38" customHeight="1">
      <x:c r="A286" s="22" t="str">
        <x:v>AS-10-2-C03</x:v>
      </x:c>
      <x:c r="B286" s="22" t="str">
        <x:v>AS-10</x:v>
      </x:c>
      <x:c r="C286" s="22" t="str">
        <x:v>Continence / Toileting</x:v>
      </x:c>
      <x:c r="D286" s="22" t="n">
        <x:v>2</x:v>
      </x:c>
      <x:c r="E286" s="22" t="str">
        <x:v>Core</x:v>
      </x:c>
      <x:c r="F286" s="22" t="str">
        <x:v>Monitor continence pattern, urine/stool changes and skin condition.</x:v>
      </x:c>
      <x:c r="G286" s="22" t="str">
        <x:v>Regular / scheduled and as needed</x:v>
      </x:c>
      <x:c r="H286" s="22" t="str">
        <x:v>Caregiver + nurse</x:v>
      </x:c>
      <x:c r="I286" s="22"/>
      <x:c r="J286" s="22" t="str">
        <x:v>Frequent diaper care workload, skin breakdown, retention, recurrent UTI or constipation.</x:v>
      </x:c>
    </x:row>
    <x:row r="287" ht="38" customHeight="1">
      <x:c r="A287" s="22" t="str">
        <x:v>AS-10-2-C04</x:v>
      </x:c>
      <x:c r="B287" s="22" t="str">
        <x:v>AS-10</x:v>
      </x:c>
      <x:c r="C287" s="22" t="str">
        <x:v>Continence / Toileting</x:v>
      </x:c>
      <x:c r="D287" s="22" t="n">
        <x:v>2</x:v>
      </x:c>
      <x:c r="E287" s="22" t="str">
        <x:v>Core</x:v>
      </x:c>
      <x:c r="F287" s="22" t="str">
        <x:v>Encourage fluids and bowel routine consistent with clinical plan.</x:v>
      </x:c>
      <x:c r="G287" s="22" t="str">
        <x:v>Regular / scheduled and as needed</x:v>
      </x:c>
      <x:c r="H287" s="22" t="str">
        <x:v>Caregiver + nurse</x:v>
      </x:c>
      <x:c r="I287" s="22"/>
      <x:c r="J287" s="22" t="str">
        <x:v>Frequent diaper care workload, skin breakdown, retention, recurrent UTI or constipation.</x:v>
      </x:c>
    </x:row>
    <x:row r="288" ht="38" customHeight="1">
      <x:c r="A288" s="22" t="str">
        <x:v>AS-10-2-X01</x:v>
      </x:c>
      <x:c r="B288" s="22" t="str">
        <x:v>AS-10</x:v>
      </x:c>
      <x:c r="C288" s="22" t="str">
        <x:v>Continence / Toileting</x:v>
      </x:c>
      <x:c r="D288" s="22" t="n">
        <x:v>2</x:v>
      </x:c>
      <x:c r="E288" s="22" t="str">
        <x:v>Condition-specific</x:v>
      </x:c>
      <x:c r="F288" s="22" t="str">
        <x:v>prompt toileting and prompt product changes.</x:v>
      </x:c>
      <x:c r="G288" s="22" t="str">
        <x:v>Regular / scheduled and as needed</x:v>
      </x:c>
      <x:c r="H288" s="22" t="str">
        <x:v>Caregiver + nurse</x:v>
      </x:c>
      <x:c r="I288" s="22" t="str">
        <x:v>Urinary incontinence</x:v>
      </x:c>
      <x:c r="J288" s="22" t="str">
        <x:v>Frequent diaper care workload, skin breakdown, retention, recurrent UTI or constipation.</x:v>
      </x:c>
    </x:row>
    <x:row r="289" ht="38" customHeight="1">
      <x:c r="A289" s="22" t="str">
        <x:v>AS-10-2-X02</x:v>
      </x:c>
      <x:c r="B289" s="22" t="str">
        <x:v>AS-10</x:v>
      </x:c>
      <x:c r="C289" s="22" t="str">
        <x:v>Continence / Toileting</x:v>
      </x:c>
      <x:c r="D289" s="22" t="n">
        <x:v>2</x:v>
      </x:c>
      <x:c r="E289" s="22" t="str">
        <x:v>Condition-specific</x:v>
      </x:c>
      <x:c r="F289" s="22" t="str">
        <x:v>report dysuria, fever, new confusion, foul/cloudy urine per clinical protocol.</x:v>
      </x:c>
      <x:c r="G289" s="22" t="str">
        <x:v>Regular / scheduled and as needed</x:v>
      </x:c>
      <x:c r="H289" s="22" t="str">
        <x:v>Caregiver + nurse</x:v>
      </x:c>
      <x:c r="I289" s="22" t="str">
        <x:v>UTI risk</x:v>
      </x:c>
      <x:c r="J289" s="22" t="str">
        <x:v>Frequent diaper care workload, skin breakdown, retention, recurrent UTI or constipation.</x:v>
      </x:c>
    </x:row>
    <x:row r="290" ht="38" customHeight="1">
      <x:c r="A290" s="22" t="str">
        <x:v>AS-10-3-C01</x:v>
      </x:c>
      <x:c r="B290" s="22" t="str">
        <x:v>AS-10</x:v>
      </x:c>
      <x:c r="C290" s="22" t="str">
        <x:v>Continence / Toileting</x:v>
      </x:c>
      <x:c r="D290" s="22" t="n">
        <x:v>3</x:v>
      </x:c>
      <x:c r="E290" s="22" t="str">
        <x:v>Core</x:v>
      </x:c>
      <x:c r="F290" s="22" t="str">
        <x:v>Provide frequent hands-on toileting/diaper care and prompt hygiene.</x:v>
      </x:c>
      <x:c r="G290" s="22" t="str">
        <x:v>Frequent / multiple episodes daily</x:v>
      </x:c>
      <x:c r="H290" s="22" t="str">
        <x:v>Caregiver + nurse</x:v>
      </x:c>
      <x:c r="I290" s="22"/>
      <x:c r="J290" s="22" t="str">
        <x:v>Skin injury, blood in urine/stool, inability to toilet safely or very high-frequency care.</x:v>
      </x:c>
    </x:row>
    <x:row r="291" ht="38" customHeight="1">
      <x:c r="A291" s="22" t="str">
        <x:v>AS-10-3-C02</x:v>
      </x:c>
      <x:c r="B291" s="22" t="str">
        <x:v>AS-10</x:v>
      </x:c>
      <x:c r="C291" s="22" t="str">
        <x:v>Continence / Toileting</x:v>
      </x:c>
      <x:c r="D291" s="22" t="n">
        <x:v>3</x:v>
      </x:c>
      <x:c r="E291" s="22" t="str">
        <x:v>Core</x:v>
      </x:c>
      <x:c r="F291" s="22" t="str">
        <x:v>Use proactive toileting schedule to reduce urgency and unsafe rushing.</x:v>
      </x:c>
      <x:c r="G291" s="22" t="str">
        <x:v>Frequent / multiple episodes daily</x:v>
      </x:c>
      <x:c r="H291" s="22" t="str">
        <x:v>Caregiver + nurse</x:v>
      </x:c>
      <x:c r="I291" s="22"/>
      <x:c r="J291" s="22" t="str">
        <x:v>Skin injury, blood in urine/stool, inability to toilet safely or very high-frequency care.</x:v>
      </x:c>
    </x:row>
    <x:row r="292" ht="38" customHeight="1">
      <x:c r="A292" s="22" t="str">
        <x:v>AS-10-3-C03</x:v>
      </x:c>
      <x:c r="B292" s="22" t="str">
        <x:v>AS-10</x:v>
      </x:c>
      <x:c r="C292" s="22" t="str">
        <x:v>Continence / Toileting</x:v>
      </x:c>
      <x:c r="D292" s="22" t="n">
        <x:v>3</x:v>
      </x:c>
      <x:c r="E292" s="22" t="str">
        <x:v>Core</x:v>
      </x:c>
      <x:c r="F292" s="22" t="str">
        <x:v>Apply skin barrier/protective care as ordered/policy.</x:v>
      </x:c>
      <x:c r="G292" s="22" t="str">
        <x:v>Frequent / multiple episodes daily</x:v>
      </x:c>
      <x:c r="H292" s="22" t="str">
        <x:v>Caregiver + nurse</x:v>
      </x:c>
      <x:c r="I292" s="22"/>
      <x:c r="J292" s="22" t="str">
        <x:v>Skin injury, blood in urine/stool, inability to toilet safely or very high-frequency care.</x:v>
      </x:c>
    </x:row>
    <x:row r="293" ht="38" customHeight="1">
      <x:c r="A293" s="22" t="str">
        <x:v>AS-10-3-C04</x:v>
      </x:c>
      <x:c r="B293" s="22" t="str">
        <x:v>AS-10</x:v>
      </x:c>
      <x:c r="C293" s="22" t="str">
        <x:v>Continence / Toileting</x:v>
      </x:c>
      <x:c r="D293" s="22" t="n">
        <x:v>3</x:v>
      </x:c>
      <x:c r="E293" s="22" t="str">
        <x:v>Core</x:v>
      </x:c>
      <x:c r="F293" s="22" t="str">
        <x:v>Track bowel pattern and escalate unresolved constipation/diarrhea.</x:v>
      </x:c>
      <x:c r="G293" s="22" t="str">
        <x:v>Frequent / multiple episodes daily</x:v>
      </x:c>
      <x:c r="H293" s="22" t="str">
        <x:v>Caregiver + nurse</x:v>
      </x:c>
      <x:c r="I293" s="22"/>
      <x:c r="J293" s="22" t="str">
        <x:v>Skin injury, blood in urine/stool, inability to toilet safely or very high-frequency care.</x:v>
      </x:c>
    </x:row>
    <x:row r="294" ht="38" customHeight="1">
      <x:c r="A294" s="22" t="str">
        <x:v>AS-10-3-X01</x:v>
      </x:c>
      <x:c r="B294" s="22" t="str">
        <x:v>AS-10</x:v>
      </x:c>
      <x:c r="C294" s="22" t="str">
        <x:v>Continence / Toileting</x:v>
      </x:c>
      <x:c r="D294" s="22" t="n">
        <x:v>3</x:v>
      </x:c>
      <x:c r="E294" s="22" t="str">
        <x:v>Condition-specific</x:v>
      </x:c>
      <x:c r="F294" s="22" t="str">
        <x:v>watch behavior for non-verbal toileting cues.</x:v>
      </x:c>
      <x:c r="G294" s="22" t="str">
        <x:v>Frequent / multiple episodes daily</x:v>
      </x:c>
      <x:c r="H294" s="22" t="str">
        <x:v>Caregiver + nurse</x:v>
      </x:c>
      <x:c r="I294" s="22" t="str">
        <x:v>Advanced dementia</x:v>
      </x:c>
      <x:c r="J294" s="22" t="str">
        <x:v>Skin injury, blood in urine/stool, inability to toilet safely or very high-frequency care.</x:v>
      </x:c>
    </x:row>
    <x:row r="295" ht="38" customHeight="1">
      <x:c r="A295" s="22" t="str">
        <x:v>AS-10-3-X02</x:v>
      </x:c>
      <x:c r="B295" s="22" t="str">
        <x:v>AS-10</x:v>
      </x:c>
      <x:c r="C295" s="22" t="str">
        <x:v>Continence / Toileting</x:v>
      </x:c>
      <x:c r="D295" s="22" t="n">
        <x:v>3</x:v>
      </x:c>
      <x:c r="E295" s="22" t="str">
        <x:v>Condition-specific</x:v>
      </x:c>
      <x:c r="F295" s="22" t="str">
        <x:v>prompt cleansing and skin protection after each episode.</x:v>
      </x:c>
      <x:c r="G295" s="22" t="str">
        <x:v>Frequent / multiple episodes daily</x:v>
      </x:c>
      <x:c r="H295" s="22" t="str">
        <x:v>Caregiver + nurse</x:v>
      </x:c>
      <x:c r="I295" s="22" t="str">
        <x:v>Fecal incontinence</x:v>
      </x:c>
      <x:c r="J295" s="22" t="str">
        <x:v>Skin injury, blood in urine/stool, inability to toilet safely or very high-frequency care.</x:v>
      </x:c>
    </x:row>
    <x:row r="296" ht="38" customHeight="1">
      <x:c r="A296" s="22" t="str">
        <x:v>AS-10-4-C01</x:v>
      </x:c>
      <x:c r="B296" s="22" t="str">
        <x:v>AS-10</x:v>
      </x:c>
      <x:c r="C296" s="22" t="str">
        <x:v>Continence / Toileting</x:v>
      </x:c>
      <x:c r="D296" s="22" t="n">
        <x:v>4</x:v>
      </x:c>
      <x:c r="E296" s="22" t="str">
        <x:v>Core</x:v>
      </x:c>
      <x:c r="F296" s="22" t="str">
        <x:v>Provide near-total continence/toileting assistance with high-frequency checks.</x:v>
      </x:c>
      <x:c r="G296" s="22" t="str">
        <x:v>High-frequency / comprehensive</x:v>
      </x:c>
      <x:c r="H296" s="22" t="str">
        <x:v>Caregiver + nurse</x:v>
      </x:c>
      <x:c r="I296" s="22"/>
      <x:c r="J296" s="22" t="str">
        <x:v>Recurrent skin breakdown, retention, GI/GU bleeding or care exceeds service capability.</x:v>
      </x:c>
    </x:row>
    <x:row r="297" ht="38" customHeight="1">
      <x:c r="A297" s="22" t="str">
        <x:v>AS-10-4-C02</x:v>
      </x:c>
      <x:c r="B297" s="22" t="str">
        <x:v>AS-10</x:v>
      </x:c>
      <x:c r="C297" s="22" t="str">
        <x:v>Continence / Toileting</x:v>
      </x:c>
      <x:c r="D297" s="22" t="n">
        <x:v>4</x:v>
      </x:c>
      <x:c r="E297" s="22" t="str">
        <x:v>Core</x:v>
      </x:c>
      <x:c r="F297" s="22" t="str">
        <x:v>Change soiled products promptly and provide thorough gentle skin care.</x:v>
      </x:c>
      <x:c r="G297" s="22" t="str">
        <x:v>High-frequency / comprehensive</x:v>
      </x:c>
      <x:c r="H297" s="22" t="str">
        <x:v>Caregiver + nurse</x:v>
      </x:c>
      <x:c r="I297" s="22"/>
      <x:c r="J297" s="22" t="str">
        <x:v>Recurrent skin breakdown, retention, GI/GU bleeding or care exceeds service capability.</x:v>
      </x:c>
    </x:row>
    <x:row r="298" ht="38" customHeight="1">
      <x:c r="A298" s="22" t="str">
        <x:v>AS-10-4-C03</x:v>
      </x:c>
      <x:c r="B298" s="22" t="str">
        <x:v>AS-10</x:v>
      </x:c>
      <x:c r="C298" s="22" t="str">
        <x:v>Continence / Toileting</x:v>
      </x:c>
      <x:c r="D298" s="22" t="n">
        <x:v>4</x:v>
      </x:c>
      <x:c r="E298" s="22" t="str">
        <x:v>Core</x:v>
      </x:c>
      <x:c r="F298" s="22" t="str">
        <x:v>Use safe transfer/repositioning plan for all toileting care.</x:v>
      </x:c>
      <x:c r="G298" s="22" t="str">
        <x:v>High-frequency / comprehensive</x:v>
      </x:c>
      <x:c r="H298" s="22" t="str">
        <x:v>Caregiver + nurse</x:v>
      </x:c>
      <x:c r="I298" s="22"/>
      <x:c r="J298" s="22" t="str">
        <x:v>Recurrent skin breakdown, retention, GI/GU bleeding or care exceeds service capability.</x:v>
      </x:c>
    </x:row>
    <x:row r="299" ht="38" customHeight="1">
      <x:c r="A299" s="22" t="str">
        <x:v>AS-10-4-C04</x:v>
      </x:c>
      <x:c r="B299" s="22" t="str">
        <x:v>AS-10</x:v>
      </x:c>
      <x:c r="C299" s="22" t="str">
        <x:v>Continence / Toileting</x:v>
      </x:c>
      <x:c r="D299" s="22" t="n">
        <x:v>4</x:v>
      </x:c>
      <x:c r="E299" s="22" t="str">
        <x:v>Core</x:v>
      </x:c>
      <x:c r="F299" s="22" t="str">
        <x:v>Maintain dignity, privacy and comfort at each episode.</x:v>
      </x:c>
      <x:c r="G299" s="22" t="str">
        <x:v>High-frequency / comprehensive</x:v>
      </x:c>
      <x:c r="H299" s="22" t="str">
        <x:v>Caregiver + nurse</x:v>
      </x:c>
      <x:c r="I299" s="22"/>
      <x:c r="J299" s="22" t="str">
        <x:v>Recurrent skin breakdown, retention, GI/GU bleeding or care exceeds service capability.</x:v>
      </x:c>
    </x:row>
    <x:row r="300" ht="38" customHeight="1">
      <x:c r="A300" s="22" t="str">
        <x:v>AS-10-4-X01</x:v>
      </x:c>
      <x:c r="B300" s="22" t="str">
        <x:v>AS-10</x:v>
      </x:c>
      <x:c r="C300" s="22" t="str">
        <x:v>Continence / Toileting</x:v>
      </x:c>
      <x:c r="D300" s="22" t="n">
        <x:v>4</x:v>
      </x:c>
      <x:c r="E300" s="22" t="str">
        <x:v>Condition-specific</x:v>
      </x:c>
      <x:c r="F300" s="22" t="str">
        <x:v>use bed-level continence care and repositioning plan.</x:v>
      </x:c>
      <x:c r="G300" s="22" t="str">
        <x:v>High-frequency / comprehensive</x:v>
      </x:c>
      <x:c r="H300" s="22" t="str">
        <x:v>Caregiver + nurse</x:v>
      </x:c>
      <x:c r="I300" s="22" t="str">
        <x:v>Severe immobility</x:v>
      </x:c>
      <x:c r="J300" s="22" t="str">
        <x:v>Recurrent skin breakdown, retention, GI/GU bleeding or care exceeds service capability.</x:v>
      </x:c>
    </x:row>
    <x:row r="301" ht="38" customHeight="1">
      <x:c r="A301" s="22" t="str">
        <x:v>AS-10-4-X02</x:v>
      </x:c>
      <x:c r="B301" s="22" t="str">
        <x:v>AS-10</x:v>
      </x:c>
      <x:c r="C301" s="22" t="str">
        <x:v>Continence / Toileting</x:v>
      </x:c>
      <x:c r="D301" s="22" t="n">
        <x:v>4</x:v>
      </x:c>
      <x:c r="E301" s="22" t="str">
        <x:v>Condition-specific</x:v>
      </x:c>
      <x:c r="F301" s="22" t="str">
        <x:v>close hydration and skin monitoring; clinical review.</x:v>
      </x:c>
      <x:c r="G301" s="22" t="str">
        <x:v>High-frequency / comprehensive</x:v>
      </x:c>
      <x:c r="H301" s="22" t="str">
        <x:v>Caregiver + nurse</x:v>
      </x:c>
      <x:c r="I301" s="22" t="str">
        <x:v>Chronic diarrhea/incontinence</x:v>
      </x:c>
      <x:c r="J301" s="22" t="str">
        <x:v>Recurrent skin breakdown, retention, GI/GU bleeding or care exceeds service capability.</x:v>
      </x:c>
    </x:row>
    <x:row r="302" ht="38" customHeight="1">
      <x:c r="A302" s="22" t="str">
        <x:v>AS-11-0-C01</x:v>
      </x:c>
      <x:c r="B302" s="22" t="str">
        <x:v>AS-11</x:v>
      </x:c>
      <x:c r="C302" s="22" t="str">
        <x:v>Skin Integrity</x:v>
      </x:c>
      <x:c r="D302" s="22" t="n">
        <x:v>0</x:v>
      </x:c>
      <x:c r="E302" s="22" t="str">
        <x:v>Core</x:v>
      </x:c>
      <x:c r="F302" s="22" t="str">
        <x:v>Perform routine skin observation during bathing/dressing.</x:v>
      </x:c>
      <x:c r="G302" s="22" t="str">
        <x:v>Routine personal care</x:v>
      </x:c>
      <x:c r="H302" s="22" t="str">
        <x:v>Nurse-led; caregiver prevention/observation</x:v>
      </x:c>
      <x:c r="I302" s="22"/>
      <x:c r="J302" s="22" t="str">
        <x:v>Non-blanching redness, open area, infection signs or unexplained bruising.</x:v>
      </x:c>
    </x:row>
    <x:row r="303" ht="38" customHeight="1">
      <x:c r="A303" s="22" t="str">
        <x:v>AS-11-0-C02</x:v>
      </x:c>
      <x:c r="B303" s="22" t="str">
        <x:v>AS-11</x:v>
      </x:c>
      <x:c r="C303" s="22" t="str">
        <x:v>Skin Integrity</x:v>
      </x:c>
      <x:c r="D303" s="22" t="n">
        <x:v>0</x:v>
      </x:c>
      <x:c r="E303" s="22" t="str">
        <x:v>Core</x:v>
      </x:c>
      <x:c r="F303" s="22" t="str">
        <x:v>Maintain normal hygiene, moisturization and mobility.</x:v>
      </x:c>
      <x:c r="G303" s="22" t="str">
        <x:v>Routine personal care</x:v>
      </x:c>
      <x:c r="H303" s="22" t="str">
        <x:v>Nurse-led; caregiver prevention/observation</x:v>
      </x:c>
      <x:c r="I303" s="22"/>
      <x:c r="J303" s="22" t="str">
        <x:v>Non-blanching redness, open area, infection signs or unexplained bruising.</x:v>
      </x:c>
    </x:row>
    <x:row r="304" ht="38" customHeight="1">
      <x:c r="A304" s="22" t="str">
        <x:v>AS-11-0-C03</x:v>
      </x:c>
      <x:c r="B304" s="22" t="str">
        <x:v>AS-11</x:v>
      </x:c>
      <x:c r="C304" s="22" t="str">
        <x:v>Skin Integrity</x:v>
      </x:c>
      <x:c r="D304" s="22" t="n">
        <x:v>0</x:v>
      </x:c>
      <x:c r="E304" s="22" t="str">
        <x:v>Core</x:v>
      </x:c>
      <x:c r="F304" s="22" t="str">
        <x:v>Keep skin clean and dry.</x:v>
      </x:c>
      <x:c r="G304" s="22" t="str">
        <x:v>Routine personal care</x:v>
      </x:c>
      <x:c r="H304" s="22" t="str">
        <x:v>Nurse-led; caregiver prevention/observation</x:v>
      </x:c>
      <x:c r="I304" s="22"/>
      <x:c r="J304" s="22" t="str">
        <x:v>Non-blanching redness, open area, infection signs or unexplained bruising.</x:v>
      </x:c>
    </x:row>
    <x:row r="305" ht="38" customHeight="1">
      <x:c r="A305" s="22" t="str">
        <x:v>AS-11-0-C04</x:v>
      </x:c>
      <x:c r="B305" s="22" t="str">
        <x:v>AS-11</x:v>
      </x:c>
      <x:c r="C305" s="22" t="str">
        <x:v>Skin Integrity</x:v>
      </x:c>
      <x:c r="D305" s="22" t="n">
        <x:v>0</x:v>
      </x:c>
      <x:c r="E305" s="22" t="str">
        <x:v>Core</x:v>
      </x:c>
      <x:c r="F305" s="22" t="str">
        <x:v>Report new redness, rash, wound or bruising.</x:v>
      </x:c>
      <x:c r="G305" s="22" t="str">
        <x:v>Routine personal care</x:v>
      </x:c>
      <x:c r="H305" s="22" t="str">
        <x:v>Nurse-led; caregiver prevention/observation</x:v>
      </x:c>
      <x:c r="I305" s="22"/>
      <x:c r="J305" s="22" t="str">
        <x:v>Non-blanching redness, open area, infection signs or unexplained bruising.</x:v>
      </x:c>
    </x:row>
    <x:row r="306" ht="38" customHeight="1">
      <x:c r="A306" s="22" t="str">
        <x:v>AS-11-0-X01</x:v>
      </x:c>
      <x:c r="B306" s="22" t="str">
        <x:v>AS-11</x:v>
      </x:c>
      <x:c r="C306" s="22" t="str">
        <x:v>Skin Integrity</x:v>
      </x:c>
      <x:c r="D306" s="22" t="n">
        <x:v>0</x:v>
      </x:c>
      <x:c r="E306" s="22" t="str">
        <x:v>Condition-specific</x:v>
      </x:c>
      <x:c r="F306" s="22" t="str">
        <x:v>routine foot/skin observation; no invasive foot care outside scope.</x:v>
      </x:c>
      <x:c r="G306" s="22" t="str">
        <x:v>Routine personal care</x:v>
      </x:c>
      <x:c r="H306" s="22" t="str">
        <x:v>Nurse-led; caregiver prevention/observation</x:v>
      </x:c>
      <x:c r="I306" s="22" t="str">
        <x:v>Diabetes</x:v>
      </x:c>
      <x:c r="J306" s="22" t="str">
        <x:v>Non-blanching redness, open area, infection signs or unexplained bruising.</x:v>
      </x:c>
    </x:row>
    <x:row r="307" ht="38" customHeight="1">
      <x:c r="A307" s="22" t="str">
        <x:v>AS-11-0-X02</x:v>
      </x:c>
      <x:c r="B307" s="22" t="str">
        <x:v>AS-11</x:v>
      </x:c>
      <x:c r="C307" s="22" t="str">
        <x:v>Skin Integrity</x:v>
      </x:c>
      <x:c r="D307" s="22" t="n">
        <x:v>0</x:v>
      </x:c>
      <x:c r="E307" s="22" t="str">
        <x:v>Condition-specific</x:v>
      </x:c>
      <x:c r="F307" s="22" t="str">
        <x:v>use preferred moisturizer if suitable.</x:v>
      </x:c>
      <x:c r="G307" s="22" t="str">
        <x:v>Routine personal care</x:v>
      </x:c>
      <x:c r="H307" s="22" t="str">
        <x:v>Nurse-led; caregiver prevention/observation</x:v>
      </x:c>
      <x:c r="I307" s="22" t="str">
        <x:v>Dry skin</x:v>
      </x:c>
      <x:c r="J307" s="22" t="str">
        <x:v>Non-blanching redness, open area, infection signs or unexplained bruising.</x:v>
      </x:c>
    </x:row>
    <x:row r="308" ht="38" customHeight="1">
      <x:c r="A308" s="22" t="str">
        <x:v>AS-11-1-C01</x:v>
      </x:c>
      <x:c r="B308" s="22" t="str">
        <x:v>AS-11</x:v>
      </x:c>
      <x:c r="C308" s="22" t="str">
        <x:v>Skin Integrity</x:v>
      </x:c>
      <x:c r="D308" s="22" t="n">
        <x:v>1</x:v>
      </x:c>
      <x:c r="E308" s="22" t="str">
        <x:v>Core</x:v>
      </x:c>
      <x:c r="F308" s="22" t="str">
        <x:v>Inspect identified risk areas regularly.</x:v>
      </x:c>
      <x:c r="G308" s="22" t="str">
        <x:v>Daily / per risk plan</x:v>
      </x:c>
      <x:c r="H308" s="22" t="str">
        <x:v>Nurse-led; caregiver prevention/observation</x:v>
      </x:c>
      <x:c r="I308" s="22"/>
      <x:c r="J308" s="22" t="str">
        <x:v>Persistent redness, blister/open area or increasing pressure/moisture exposure.</x:v>
      </x:c>
    </x:row>
    <x:row r="309" ht="38" customHeight="1">
      <x:c r="A309" s="22" t="str">
        <x:v>AS-11-1-C02</x:v>
      </x:c>
      <x:c r="B309" s="22" t="str">
        <x:v>AS-11</x:v>
      </x:c>
      <x:c r="C309" s="22" t="str">
        <x:v>Skin Integrity</x:v>
      </x:c>
      <x:c r="D309" s="22" t="n">
        <x:v>1</x:v>
      </x:c>
      <x:c r="E309" s="22" t="str">
        <x:v>Core</x:v>
      </x:c>
      <x:c r="F309" s="22" t="str">
        <x:v>Use preventive off-loading/position changes as indicated.</x:v>
      </x:c>
      <x:c r="G309" s="22" t="str">
        <x:v>Daily / per risk plan</x:v>
      </x:c>
      <x:c r="H309" s="22" t="str">
        <x:v>Nurse-led; caregiver prevention/observation</x:v>
      </x:c>
      <x:c r="I309" s="22"/>
      <x:c r="J309" s="22" t="str">
        <x:v>Persistent redness, blister/open area or increasing pressure/moisture exposure.</x:v>
      </x:c>
    </x:row>
    <x:row r="310" ht="38" customHeight="1">
      <x:c r="A310" s="22" t="str">
        <x:v>AS-11-1-C03</x:v>
      </x:c>
      <x:c r="B310" s="22" t="str">
        <x:v>AS-11</x:v>
      </x:c>
      <x:c r="C310" s="22" t="str">
        <x:v>Skin Integrity</x:v>
      </x:c>
      <x:c r="D310" s="22" t="n">
        <x:v>1</x:v>
      </x:c>
      <x:c r="E310" s="22" t="str">
        <x:v>Core</x:v>
      </x:c>
      <x:c r="F310" s="22" t="str">
        <x:v>Manage moisture promptly and protect fragile skin.</x:v>
      </x:c>
      <x:c r="G310" s="22" t="str">
        <x:v>Daily / per risk plan</x:v>
      </x:c>
      <x:c r="H310" s="22" t="str">
        <x:v>Nurse-led; caregiver prevention/observation</x:v>
      </x:c>
      <x:c r="I310" s="22"/>
      <x:c r="J310" s="22" t="str">
        <x:v>Persistent redness, blister/open area or increasing pressure/moisture exposure.</x:v>
      </x:c>
    </x:row>
    <x:row r="311" ht="38" customHeight="1">
      <x:c r="A311" s="22" t="str">
        <x:v>AS-11-1-C04</x:v>
      </x:c>
      <x:c r="B311" s="22" t="str">
        <x:v>AS-11</x:v>
      </x:c>
      <x:c r="C311" s="22" t="str">
        <x:v>Skin Integrity</x:v>
      </x:c>
      <x:c r="D311" s="22" t="n">
        <x:v>1</x:v>
      </x:c>
      <x:c r="E311" s="22" t="str">
        <x:v>Core</x:v>
      </x:c>
      <x:c r="F311" s="22" t="str">
        <x:v>Document any persistent redness or skin change.</x:v>
      </x:c>
      <x:c r="G311" s="22" t="str">
        <x:v>Daily / per risk plan</x:v>
      </x:c>
      <x:c r="H311" s="22" t="str">
        <x:v>Nurse-led; caregiver prevention/observation</x:v>
      </x:c>
      <x:c r="I311" s="22"/>
      <x:c r="J311" s="22" t="str">
        <x:v>Persistent redness, blister/open area or increasing pressure/moisture exposure.</x:v>
      </x:c>
    </x:row>
    <x:row r="312" ht="38" customHeight="1">
      <x:c r="A312" s="22" t="str">
        <x:v>AS-11-1-X01</x:v>
      </x:c>
      <x:c r="B312" s="22" t="str">
        <x:v>AS-11</x:v>
      </x:c>
      <x:c r="C312" s="22" t="str">
        <x:v>Skin Integrity</x:v>
      </x:c>
      <x:c r="D312" s="22" t="n">
        <x:v>1</x:v>
      </x:c>
      <x:c r="E312" s="22" t="str">
        <x:v>Condition-specific</x:v>
      </x:c>
      <x:c r="F312" s="22" t="str">
        <x:v>barrier protection and prompt cleansing.</x:v>
      </x:c>
      <x:c r="G312" s="22" t="str">
        <x:v>Daily / per risk plan</x:v>
      </x:c>
      <x:c r="H312" s="22" t="str">
        <x:v>Nurse-led; caregiver prevention/observation</x:v>
      </x:c>
      <x:c r="I312" s="22" t="str">
        <x:v>Incontinence</x:v>
      </x:c>
      <x:c r="J312" s="22" t="str">
        <x:v>Persistent redness, blister/open area or increasing pressure/moisture exposure.</x:v>
      </x:c>
    </x:row>
    <x:row r="313" ht="38" customHeight="1">
      <x:c r="A313" s="22" t="str">
        <x:v>AS-11-1-X02</x:v>
      </x:c>
      <x:c r="B313" s="22" t="str">
        <x:v>AS-11</x:v>
      </x:c>
      <x:c r="C313" s="22" t="str">
        <x:v>Skin Integrity</x:v>
      </x:c>
      <x:c r="D313" s="22" t="n">
        <x:v>1</x:v>
      </x:c>
      <x:c r="E313" s="22" t="str">
        <x:v>Condition-specific</x:v>
      </x:c>
      <x:c r="F313" s="22" t="str">
        <x:v>protect bony prominences and avoid friction/shear.</x:v>
      </x:c>
      <x:c r="G313" s="22" t="str">
        <x:v>Daily / per risk plan</x:v>
      </x:c>
      <x:c r="H313" s="22" t="str">
        <x:v>Nurse-led; caregiver prevention/observation</x:v>
      </x:c>
      <x:c r="I313" s="22" t="str">
        <x:v>Frailty</x:v>
      </x:c>
      <x:c r="J313" s="22" t="str">
        <x:v>Persistent redness, blister/open area or increasing pressure/moisture exposure.</x:v>
      </x:c>
    </x:row>
    <x:row r="314" ht="38" customHeight="1">
      <x:c r="A314" s="22" t="str">
        <x:v>AS-11-2-C01</x:v>
      </x:c>
      <x:c r="B314" s="22" t="str">
        <x:v>AS-11</x:v>
      </x:c>
      <x:c r="C314" s="22" t="str">
        <x:v>Skin Integrity</x:v>
      </x:c>
      <x:c r="D314" s="22" t="n">
        <x:v>2</x:v>
      </x:c>
      <x:c r="E314" s="22" t="str">
        <x:v>Core</x:v>
      </x:c>
      <x:c r="F314" s="22" t="str">
        <x:v>Provide regular skin/wound care according to written orders.</x:v>
      </x:c>
      <x:c r="G314" s="22" t="str">
        <x:v>Regular / ordered schedule</x:v>
      </x:c>
      <x:c r="H314" s="22" t="str">
        <x:v>Nurse-led; caregiver prevention/observation</x:v>
      </x:c>
      <x:c r="I314" s="22"/>
      <x:c r="J314" s="22" t="str">
        <x:v>Wound enlargement, drainage/odor, fever, worsening pain or new pressure injury.</x:v>
      </x:c>
    </x:row>
    <x:row r="315" ht="38" customHeight="1">
      <x:c r="A315" s="22" t="str">
        <x:v>AS-11-2-C02</x:v>
      </x:c>
      <x:c r="B315" s="22" t="str">
        <x:v>AS-11</x:v>
      </x:c>
      <x:c r="C315" s="22" t="str">
        <x:v>Skin Integrity</x:v>
      </x:c>
      <x:c r="D315" s="22" t="n">
        <x:v>2</x:v>
      </x:c>
      <x:c r="E315" s="22" t="str">
        <x:v>Core</x:v>
      </x:c>
      <x:c r="F315" s="22" t="str">
        <x:v>Implement pressure prevention and repositioning schedule.</x:v>
      </x:c>
      <x:c r="G315" s="22" t="str">
        <x:v>Regular / ordered schedule</x:v>
      </x:c>
      <x:c r="H315" s="22" t="str">
        <x:v>Nurse-led; caregiver prevention/observation</x:v>
      </x:c>
      <x:c r="I315" s="22"/>
      <x:c r="J315" s="22" t="str">
        <x:v>Wound enlargement, drainage/odor, fever, worsening pain or new pressure injury.</x:v>
      </x:c>
    </x:row>
    <x:row r="316" ht="38" customHeight="1">
      <x:c r="A316" s="22" t="str">
        <x:v>AS-11-2-C03</x:v>
      </x:c>
      <x:c r="B316" s="22" t="str">
        <x:v>AS-11</x:v>
      </x:c>
      <x:c r="C316" s="22" t="str">
        <x:v>Skin Integrity</x:v>
      </x:c>
      <x:c r="D316" s="22" t="n">
        <x:v>2</x:v>
      </x:c>
      <x:c r="E316" s="22" t="str">
        <x:v>Core</x:v>
      </x:c>
      <x:c r="F316" s="22" t="str">
        <x:v>Track wound/skin appearance and report deterioration.</x:v>
      </x:c>
      <x:c r="G316" s="22" t="str">
        <x:v>Regular / ordered schedule</x:v>
      </x:c>
      <x:c r="H316" s="22" t="str">
        <x:v>Nurse-led; caregiver prevention/observation</x:v>
      </x:c>
      <x:c r="I316" s="22"/>
      <x:c r="J316" s="22" t="str">
        <x:v>Wound enlargement, drainage/odor, fever, worsening pain or new pressure injury.</x:v>
      </x:c>
    </x:row>
    <x:row r="317" ht="38" customHeight="1">
      <x:c r="A317" s="22" t="str">
        <x:v>AS-11-2-C04</x:v>
      </x:c>
      <x:c r="B317" s="22" t="str">
        <x:v>AS-11</x:v>
      </x:c>
      <x:c r="C317" s="22" t="str">
        <x:v>Skin Integrity</x:v>
      </x:c>
      <x:c r="D317" s="22" t="n">
        <x:v>2</x:v>
      </x:c>
      <x:c r="E317" s="22" t="str">
        <x:v>Core</x:v>
      </x:c>
      <x:c r="F317" s="22" t="str">
        <x:v>Support nutrition/hydration relevant to skin healing.</x:v>
      </x:c>
      <x:c r="G317" s="22" t="str">
        <x:v>Regular / ordered schedule</x:v>
      </x:c>
      <x:c r="H317" s="22" t="str">
        <x:v>Nurse-led; caregiver prevention/observation</x:v>
      </x:c>
      <x:c r="I317" s="22"/>
      <x:c r="J317" s="22" t="str">
        <x:v>Wound enlargement, drainage/odor, fever, worsening pain or new pressure injury.</x:v>
      </x:c>
    </x:row>
    <x:row r="318" ht="38" customHeight="1">
      <x:c r="A318" s="22" t="str">
        <x:v>AS-11-2-X01</x:v>
      </x:c>
      <x:c r="B318" s="22" t="str">
        <x:v>AS-11</x:v>
      </x:c>
      <x:c r="C318" s="22" t="str">
        <x:v>Skin Integrity</x:v>
      </x:c>
      <x:c r="D318" s="22" t="n">
        <x:v>2</x:v>
      </x:c>
      <x:c r="E318" s="22" t="str">
        <x:v>Condition-specific</x:v>
      </x:c>
      <x:c r="F318" s="22" t="str">
        <x:v>follow wound plan and off-loading instructions.</x:v>
      </x:c>
      <x:c r="G318" s="22" t="str">
        <x:v>Regular / ordered schedule</x:v>
      </x:c>
      <x:c r="H318" s="22" t="str">
        <x:v>Nurse-led; caregiver prevention/observation</x:v>
      </x:c>
      <x:c r="I318" s="22" t="str">
        <x:v>Stage 1/2 pressure injury</x:v>
      </x:c>
      <x:c r="J318" s="22" t="str">
        <x:v>Wound enlargement, drainage/odor, fever, worsening pain or new pressure injury.</x:v>
      </x:c>
    </x:row>
    <x:row r="319" ht="38" customHeight="1">
      <x:c r="A319" s="22" t="str">
        <x:v>AS-11-2-X02</x:v>
      </x:c>
      <x:c r="B319" s="22" t="str">
        <x:v>AS-11</x:v>
      </x:c>
      <x:c r="C319" s="22" t="str">
        <x:v>Skin Integrity</x:v>
      </x:c>
      <x:c r="D319" s="22" t="n">
        <x:v>2</x:v>
      </x:c>
      <x:c r="E319" s="22" t="str">
        <x:v>Condition-specific</x:v>
      </x:c>
      <x:c r="F319" s="22" t="str">
        <x:v>monitor feet for breaks, redness, warmth or infection signs.</x:v>
      </x:c>
      <x:c r="G319" s="22" t="str">
        <x:v>Regular / ordered schedule</x:v>
      </x:c>
      <x:c r="H319" s="22" t="str">
        <x:v>Nurse-led; caregiver prevention/observation</x:v>
      </x:c>
      <x:c r="I319" s="22" t="str">
        <x:v>Diabetes</x:v>
      </x:c>
      <x:c r="J319" s="22" t="str">
        <x:v>Wound enlargement, drainage/odor, fever, worsening pain or new pressure injury.</x:v>
      </x:c>
    </x:row>
    <x:row r="320" ht="38" customHeight="1">
      <x:c r="A320" s="22" t="str">
        <x:v>AS-11-3-C01</x:v>
      </x:c>
      <x:c r="B320" s="22" t="str">
        <x:v>AS-11</x:v>
      </x:c>
      <x:c r="C320" s="22" t="str">
        <x:v>Skin Integrity</x:v>
      </x:c>
      <x:c r="D320" s="22" t="n">
        <x:v>3</x:v>
      </x:c>
      <x:c r="E320" s="22" t="str">
        <x:v>Core</x:v>
      </x:c>
      <x:c r="F320" s="22" t="str">
        <x:v>Provide frequent individualized wound/skin care and pressure management.</x:v>
      </x:c>
      <x:c r="G320" s="22" t="str">
        <x:v>Frequent / multiple times daily as ordered</x:v>
      </x:c>
      <x:c r="H320" s="22" t="str">
        <x:v>Nurse-led; caregiver prevention/observation</x:v>
      </x:c>
      <x:c r="I320" s="22"/>
      <x:c r="J320" s="22" t="str">
        <x:v>Rapid deterioration, spreading infection, necrosis or wound needs beyond capability.</x:v>
      </x:c>
    </x:row>
    <x:row r="321" ht="38" customHeight="1">
      <x:c r="A321" s="22" t="str">
        <x:v>AS-11-3-C02</x:v>
      </x:c>
      <x:c r="B321" s="22" t="str">
        <x:v>AS-11</x:v>
      </x:c>
      <x:c r="C321" s="22" t="str">
        <x:v>Skin Integrity</x:v>
      </x:c>
      <x:c r="D321" s="22" t="n">
        <x:v>3</x:v>
      </x:c>
      <x:c r="E321" s="22" t="str">
        <x:v>Core</x:v>
      </x:c>
      <x:c r="F321" s="22" t="str">
        <x:v>Reposition/off-load at prescribed frequency and document completion.</x:v>
      </x:c>
      <x:c r="G321" s="22" t="str">
        <x:v>Frequent / multiple times daily as ordered</x:v>
      </x:c>
      <x:c r="H321" s="22" t="str">
        <x:v>Nurse-led; caregiver prevention/observation</x:v>
      </x:c>
      <x:c r="I321" s="22"/>
      <x:c r="J321" s="22" t="str">
        <x:v>Rapid deterioration, spreading infection, necrosis or wound needs beyond capability.</x:v>
      </x:c>
    </x:row>
    <x:row r="322" ht="38" customHeight="1">
      <x:c r="A322" s="22" t="str">
        <x:v>AS-11-3-C03</x:v>
      </x:c>
      <x:c r="B322" s="22" t="str">
        <x:v>AS-11</x:v>
      </x:c>
      <x:c r="C322" s="22" t="str">
        <x:v>Skin Integrity</x:v>
      </x:c>
      <x:c r="D322" s="22" t="n">
        <x:v>3</x:v>
      </x:c>
      <x:c r="E322" s="22" t="str">
        <x:v>Core</x:v>
      </x:c>
      <x:c r="F322" s="22" t="str">
        <x:v>Monitor drainage, odor, surrounding skin, pain and systemic symptoms.</x:v>
      </x:c>
      <x:c r="G322" s="22" t="str">
        <x:v>Frequent / multiple times daily as ordered</x:v>
      </x:c>
      <x:c r="H322" s="22" t="str">
        <x:v>Nurse-led; caregiver prevention/observation</x:v>
      </x:c>
      <x:c r="I322" s="22"/>
      <x:c r="J322" s="22" t="str">
        <x:v>Rapid deterioration, spreading infection, necrosis or wound needs beyond capability.</x:v>
      </x:c>
    </x:row>
    <x:row r="323" ht="38" customHeight="1">
      <x:c r="A323" s="22" t="str">
        <x:v>AS-11-3-C04</x:v>
      </x:c>
      <x:c r="B323" s="22" t="str">
        <x:v>AS-11</x:v>
      </x:c>
      <x:c r="C323" s="22" t="str">
        <x:v>Skin Integrity</x:v>
      </x:c>
      <x:c r="D323" s="22" t="n">
        <x:v>3</x:v>
      </x:c>
      <x:c r="E323" s="22" t="str">
        <x:v>Core</x:v>
      </x:c>
      <x:c r="F323" s="22" t="str">
        <x:v>Coordinate wound-clinician/medical review.</x:v>
      </x:c>
      <x:c r="G323" s="22" t="str">
        <x:v>Frequent / multiple times daily as ordered</x:v>
      </x:c>
      <x:c r="H323" s="22" t="str">
        <x:v>Nurse-led; caregiver prevention/observation</x:v>
      </x:c>
      <x:c r="I323" s="22"/>
      <x:c r="J323" s="22" t="str">
        <x:v>Rapid deterioration, spreading infection, necrosis or wound needs beyond capability.</x:v>
      </x:c>
    </x:row>
    <x:row r="324" ht="38" customHeight="1">
      <x:c r="A324" s="22" t="str">
        <x:v>AS-11-3-X01</x:v>
      </x:c>
      <x:c r="B324" s="22" t="str">
        <x:v>AS-11</x:v>
      </x:c>
      <x:c r="C324" s="22" t="str">
        <x:v>Skin Integrity</x:v>
      </x:c>
      <x:c r="D324" s="22" t="n">
        <x:v>3</x:v>
      </x:c>
      <x:c r="E324" s="22" t="str">
        <x:v>Condition-specific</x:v>
      </x:c>
      <x:c r="F324" s="22" t="str">
        <x:v>separate supplies and follow infection-control procedure.</x:v>
      </x:c>
      <x:c r="G324" s="22" t="str">
        <x:v>Frequent / multiple times daily as ordered</x:v>
      </x:c>
      <x:c r="H324" s="22" t="str">
        <x:v>Nurse-led; caregiver prevention/observation</x:v>
      </x:c>
      <x:c r="I324" s="22" t="str">
        <x:v>Multiple wounds</x:v>
      </x:c>
      <x:c r="J324" s="22" t="str">
        <x:v>Rapid deterioration, spreading infection, necrosis or wound needs beyond capability.</x:v>
      </x:c>
    </x:row>
    <x:row r="325" ht="38" customHeight="1">
      <x:c r="A325" s="22" t="str">
        <x:v>AS-11-3-X02</x:v>
      </x:c>
      <x:c r="B325" s="22" t="str">
        <x:v>AS-11</x:v>
      </x:c>
      <x:c r="C325" s="22" t="str">
        <x:v>Skin Integrity</x:v>
      </x:c>
      <x:c r="D325" s="22" t="n">
        <x:v>3</x:v>
      </x:c>
      <x:c r="E325" s="22" t="str">
        <x:v>Condition-specific</x:v>
      </x:c>
      <x:c r="F325" s="22" t="str">
        <x:v>frequent continence care and barrier plan.</x:v>
      </x:c>
      <x:c r="G325" s="22" t="str">
        <x:v>Frequent / multiple times daily as ordered</x:v>
      </x:c>
      <x:c r="H325" s="22" t="str">
        <x:v>Nurse-led; caregiver prevention/observation</x:v>
      </x:c>
      <x:c r="I325" s="22" t="str">
        <x:v>Moisture-associated skin damage</x:v>
      </x:c>
      <x:c r="J325" s="22" t="str">
        <x:v>Rapid deterioration, spreading infection, necrosis or wound needs beyond capability.</x:v>
      </x:c>
    </x:row>
    <x:row r="326" ht="38" customHeight="1">
      <x:c r="A326" s="22" t="str">
        <x:v>AS-11-4-C01</x:v>
      </x:c>
      <x:c r="B326" s="22" t="str">
        <x:v>AS-11</x:v>
      </x:c>
      <x:c r="C326" s="22" t="str">
        <x:v>Skin Integrity</x:v>
      </x:c>
      <x:c r="D326" s="22" t="n">
        <x:v>4</x:v>
      </x:c>
      <x:c r="E326" s="22" t="str">
        <x:v>Core</x:v>
      </x:c>
      <x:c r="F326" s="22" t="str">
        <x:v>Provide intensive skin/wound management within service scope.</x:v>
      </x:c>
      <x:c r="G326" s="22" t="str">
        <x:v>High-frequency / intensive</x:v>
      </x:c>
      <x:c r="H326" s="22" t="str">
        <x:v>Nurse-led; caregiver prevention/observation</x:v>
      </x:c>
      <x:c r="I326" s="22"/>
      <x:c r="J326" s="22" t="str">
        <x:v>Suspected deep infection/sepsis, uncontrolled pain or advanced wound care beyond capability.</x:v>
      </x:c>
    </x:row>
    <x:row r="327" ht="38" customHeight="1">
      <x:c r="A327" s="22" t="str">
        <x:v>AS-11-4-C02</x:v>
      </x:c>
      <x:c r="B327" s="22" t="str">
        <x:v>AS-11</x:v>
      </x:c>
      <x:c r="C327" s="22" t="str">
        <x:v>Skin Integrity</x:v>
      </x:c>
      <x:c r="D327" s="22" t="n">
        <x:v>4</x:v>
      </x:c>
      <x:c r="E327" s="22" t="str">
        <x:v>Core</x:v>
      </x:c>
      <x:c r="F327" s="22" t="str">
        <x:v>Use strict pressure-relief, positioning and moisture-control plan.</x:v>
      </x:c>
      <x:c r="G327" s="22" t="str">
        <x:v>High-frequency / intensive</x:v>
      </x:c>
      <x:c r="H327" s="22" t="str">
        <x:v>Nurse-led; caregiver prevention/observation</x:v>
      </x:c>
      <x:c r="I327" s="22"/>
      <x:c r="J327" s="22" t="str">
        <x:v>Suspected deep infection/sepsis, uncontrolled pain or advanced wound care beyond capability.</x:v>
      </x:c>
    </x:row>
    <x:row r="328" ht="38" customHeight="1">
      <x:c r="A328" s="22" t="str">
        <x:v>AS-11-4-C03</x:v>
      </x:c>
      <x:c r="B328" s="22" t="str">
        <x:v>AS-11</x:v>
      </x:c>
      <x:c r="C328" s="22" t="str">
        <x:v>Skin Integrity</x:v>
      </x:c>
      <x:c r="D328" s="22" t="n">
        <x:v>4</x:v>
      </x:c>
      <x:c r="E328" s="22" t="str">
        <x:v>Core</x:v>
      </x:c>
      <x:c r="F328" s="22" t="str">
        <x:v>Maintain comfort/pain observation during care.</x:v>
      </x:c>
      <x:c r="G328" s="22" t="str">
        <x:v>High-frequency / intensive</x:v>
      </x:c>
      <x:c r="H328" s="22" t="str">
        <x:v>Nurse-led; caregiver prevention/observation</x:v>
      </x:c>
      <x:c r="I328" s="22"/>
      <x:c r="J328" s="22" t="str">
        <x:v>Suspected deep infection/sepsis, uncontrolled pain or advanced wound care beyond capability.</x:v>
      </x:c>
    </x:row>
    <x:row r="329" ht="38" customHeight="1">
      <x:c r="A329" s="22" t="str">
        <x:v>AS-11-4-C04</x:v>
      </x:c>
      <x:c r="B329" s="22" t="str">
        <x:v>AS-11</x:v>
      </x:c>
      <x:c r="C329" s="22" t="str">
        <x:v>Skin Integrity</x:v>
      </x:c>
      <x:c r="D329" s="22" t="n">
        <x:v>4</x:v>
      </x:c>
      <x:c r="E329" s="22" t="str">
        <x:v>Core</x:v>
      </x:c>
      <x:c r="F329" s="22" t="str">
        <x:v>Coordinate urgent review when healing is poor or systemic signs appear.</x:v>
      </x:c>
      <x:c r="G329" s="22" t="str">
        <x:v>High-frequency / intensive</x:v>
      </x:c>
      <x:c r="H329" s="22" t="str">
        <x:v>Nurse-led; caregiver prevention/observation</x:v>
      </x:c>
      <x:c r="I329" s="22"/>
      <x:c r="J329" s="22" t="str">
        <x:v>Suspected deep infection/sepsis, uncontrolled pain or advanced wound care beyond capability.</x:v>
      </x:c>
    </x:row>
    <x:row r="330" ht="38" customHeight="1">
      <x:c r="A330" s="22" t="str">
        <x:v>AS-11-4-X01</x:v>
      </x:c>
      <x:c r="B330" s="22" t="str">
        <x:v>AS-11</x:v>
      </x:c>
      <x:c r="C330" s="22" t="str">
        <x:v>Skin Integrity</x:v>
      </x:c>
      <x:c r="D330" s="22" t="n">
        <x:v>4</x:v>
      </x:c>
      <x:c r="E330" s="22" t="str">
        <x:v>Condition-specific</x:v>
      </x:c>
      <x:c r="F330" s="22" t="str">
        <x:v>follow specialist wound plan; monitor for infection/sepsis signs.</x:v>
      </x:c>
      <x:c r="G330" s="22" t="str">
        <x:v>High-frequency / intensive</x:v>
      </x:c>
      <x:c r="H330" s="22" t="str">
        <x:v>Nurse-led; caregiver prevention/observation</x:v>
      </x:c>
      <x:c r="I330" s="22" t="str">
        <x:v>Advanced pressure injury</x:v>
      </x:c>
      <x:c r="J330" s="22" t="str">
        <x:v>Suspected deep infection/sepsis, uncontrolled pain or advanced wound care beyond capability.</x:v>
      </x:c>
    </x:row>
    <x:row r="331" ht="38" customHeight="1">
      <x:c r="A331" s="22" t="str">
        <x:v>AS-11-4-X02</x:v>
      </x:c>
      <x:c r="B331" s="22" t="str">
        <x:v>AS-11</x:v>
      </x:c>
      <x:c r="C331" s="22" t="str">
        <x:v>Skin Integrity</x:v>
      </x:c>
      <x:c r="D331" s="22" t="n">
        <x:v>4</x:v>
      </x:c>
      <x:c r="E331" s="22" t="str">
        <x:v>Condition-specific</x:v>
      </x:c>
      <x:c r="F331" s="22" t="str">
        <x:v>prioritize comfort and goals of care.</x:v>
      </x:c>
      <x:c r="G331" s="22" t="str">
        <x:v>High-frequency / intensive</x:v>
      </x:c>
      <x:c r="H331" s="22" t="str">
        <x:v>Nurse-led; caregiver prevention/observation</x:v>
      </x:c>
      <x:c r="I331" s="22" t="str">
        <x:v>End-of-life skin changes</x:v>
      </x:c>
      <x:c r="J331" s="22" t="str">
        <x:v>Suspected deep infection/sepsis, uncontrolled pain or advanced wound care beyond capability.</x:v>
      </x:c>
    </x:row>
    <x:row r="332" ht="38" customHeight="1">
      <x:c r="A332" s="22" t="str">
        <x:v>AS-12-0-C01</x:v>
      </x:c>
      <x:c r="B332" s="22" t="str">
        <x:v>AS-12</x:v>
      </x:c>
      <x:c r="C332" s="22" t="str">
        <x:v>Sleep / Night Routine</x:v>
      </x:c>
      <x:c r="D332" s="22" t="n">
        <x:v>0</x:v>
      </x:c>
      <x:c r="E332" s="22" t="str">
        <x:v>Core</x:v>
      </x:c>
      <x:c r="F332" s="22" t="str">
        <x:v>Respect resident’s preferred bedtime, wake time and sleep environment.</x:v>
      </x:c>
      <x:c r="G332" s="22" t="str">
        <x:v>Nightly / routine</x:v>
      </x:c>
      <x:c r="H332" s="22" t="str">
        <x:v>Caregiver + nurse if persistent change</x:v>
      </x:c>
      <x:c r="I332" s="22"/>
      <x:c r="J332" s="22" t="str">
        <x:v>Persistent insomnia, nighttime confusion, unsafe wandering or daytime impairment.</x:v>
      </x:c>
    </x:row>
    <x:row r="333" ht="38" customHeight="1">
      <x:c r="A333" s="22" t="str">
        <x:v>AS-12-0-C02</x:v>
      </x:c>
      <x:c r="B333" s="22" t="str">
        <x:v>AS-12</x:v>
      </x:c>
      <x:c r="C333" s="22" t="str">
        <x:v>Sleep / Night Routine</x:v>
      </x:c>
      <x:c r="D333" s="22" t="n">
        <x:v>0</x:v>
      </x:c>
      <x:c r="E333" s="22" t="str">
        <x:v>Core</x:v>
      </x:c>
      <x:c r="F333" s="22" t="str">
        <x:v>Minimize unnecessary nighttime interruptions.</x:v>
      </x:c>
      <x:c r="G333" s="22" t="str">
        <x:v>Nightly / routine</x:v>
      </x:c>
      <x:c r="H333" s="22" t="str">
        <x:v>Caregiver + nurse if persistent change</x:v>
      </x:c>
      <x:c r="I333" s="22"/>
      <x:c r="J333" s="22" t="str">
        <x:v>Persistent insomnia, nighttime confusion, unsafe wandering or daytime impairment.</x:v>
      </x:c>
    </x:row>
    <x:row r="334" ht="38" customHeight="1">
      <x:c r="A334" s="22" t="str">
        <x:v>AS-12-0-C03</x:v>
      </x:c>
      <x:c r="B334" s="22" t="str">
        <x:v>AS-12</x:v>
      </x:c>
      <x:c r="C334" s="22" t="str">
        <x:v>Sleep / Night Routine</x:v>
      </x:c>
      <x:c r="D334" s="22" t="n">
        <x:v>0</x:v>
      </x:c>
      <x:c r="E334" s="22" t="str">
        <x:v>Core</x:v>
      </x:c>
      <x:c r="F334" s="22" t="str">
        <x:v>Support usual bedtime routine and comfort items.</x:v>
      </x:c>
      <x:c r="G334" s="22" t="str">
        <x:v>Nightly / routine</x:v>
      </x:c>
      <x:c r="H334" s="22" t="str">
        <x:v>Caregiver + nurse if persistent change</x:v>
      </x:c>
      <x:c r="I334" s="22"/>
      <x:c r="J334" s="22" t="str">
        <x:v>Persistent insomnia, nighttime confusion, unsafe wandering or daytime impairment.</x:v>
      </x:c>
    </x:row>
    <x:row r="335" ht="38" customHeight="1">
      <x:c r="A335" s="22" t="str">
        <x:v>AS-12-0-C04</x:v>
      </x:c>
      <x:c r="B335" s="22" t="str">
        <x:v>AS-12</x:v>
      </x:c>
      <x:c r="C335" s="22" t="str">
        <x:v>Sleep / Night Routine</x:v>
      </x:c>
      <x:c r="D335" s="22" t="n">
        <x:v>0</x:v>
      </x:c>
      <x:c r="E335" s="22" t="str">
        <x:v>Core</x:v>
      </x:c>
      <x:c r="F335" s="22" t="str">
        <x:v>Observe for new sleep disruption or daytime somnolence.</x:v>
      </x:c>
      <x:c r="G335" s="22" t="str">
        <x:v>Nightly / routine</x:v>
      </x:c>
      <x:c r="H335" s="22" t="str">
        <x:v>Caregiver + nurse if persistent change</x:v>
      </x:c>
      <x:c r="I335" s="22"/>
      <x:c r="J335" s="22" t="str">
        <x:v>Persistent insomnia, nighttime confusion, unsafe wandering or daytime impairment.</x:v>
      </x:c>
    </x:row>
    <x:row r="336" ht="38" customHeight="1">
      <x:c r="A336" s="22" t="str">
        <x:v>AS-12-0-X01</x:v>
      </x:c>
      <x:c r="B336" s="22" t="str">
        <x:v>AS-12</x:v>
      </x:c>
      <x:c r="C336" s="22" t="str">
        <x:v>Sleep / Night Routine</x:v>
      </x:c>
      <x:c r="D336" s="22" t="n">
        <x:v>0</x:v>
      </x:c>
      <x:c r="E336" s="22" t="str">
        <x:v>Condition-specific</x:v>
      </x:c>
      <x:c r="F336" s="22" t="str">
        <x:v>keep safe path to toilet.</x:v>
      </x:c>
      <x:c r="G336" s="22" t="str">
        <x:v>Nightly / routine</x:v>
      </x:c>
      <x:c r="H336" s="22" t="str">
        <x:v>Caregiver + nurse if persistent change</x:v>
      </x:c>
      <x:c r="I336" s="22" t="str">
        <x:v>Nocturia history</x:v>
      </x:c>
      <x:c r="J336" s="22" t="str">
        <x:v>Persistent insomnia, nighttime confusion, unsafe wandering or daytime impairment.</x:v>
      </x:c>
    </x:row>
    <x:row r="337" ht="38" customHeight="1">
      <x:c r="A337" s="22" t="str">
        <x:v>AS-12-0-X02</x:v>
      </x:c>
      <x:c r="B337" s="22" t="str">
        <x:v>AS-12</x:v>
      </x:c>
      <x:c r="C337" s="22" t="str">
        <x:v>Sleep / Night Routine</x:v>
      </x:c>
      <x:c r="D337" s="22" t="n">
        <x:v>0</x:v>
      </x:c>
      <x:c r="E337" s="22" t="str">
        <x:v>Condition-specific</x:v>
      </x:c>
      <x:c r="F337" s="22" t="str">
        <x:v>cluster care to avoid awakenings.</x:v>
      </x:c>
      <x:c r="G337" s="22" t="str">
        <x:v>Nightly / routine</x:v>
      </x:c>
      <x:c r="H337" s="22" t="str">
        <x:v>Caregiver + nurse if persistent change</x:v>
      </x:c>
      <x:c r="I337" s="22" t="str">
        <x:v>Light sleeper</x:v>
      </x:c>
      <x:c r="J337" s="22" t="str">
        <x:v>Persistent insomnia, nighttime confusion, unsafe wandering or daytime impairment.</x:v>
      </x:c>
    </x:row>
    <x:row r="338" ht="38" customHeight="1">
      <x:c r="A338" s="22" t="str">
        <x:v>AS-12-1-C01</x:v>
      </x:c>
      <x:c r="B338" s="22" t="str">
        <x:v>AS-12</x:v>
      </x:c>
      <x:c r="C338" s="22" t="str">
        <x:v>Sleep / Night Routine</x:v>
      </x:c>
      <x:c r="D338" s="22" t="n">
        <x:v>1</x:v>
      </x:c>
      <x:c r="E338" s="22" t="str">
        <x:v>Core</x:v>
      </x:c>
      <x:c r="F338" s="22" t="str">
        <x:v>Provide occasional reassurance, cueing or comfort at night.</x:v>
      </x:c>
      <x:c r="G338" s="22" t="str">
        <x:v>Occasional nights / as needed</x:v>
      </x:c>
      <x:c r="H338" s="22" t="str">
        <x:v>Caregiver + nurse if persistent change</x:v>
      </x:c>
      <x:c r="I338" s="22"/>
      <x:c r="J338" s="22" t="str">
        <x:v>Night support becomes regular, repeated falls risk or day/night reversal.</x:v>
      </x:c>
    </x:row>
    <x:row r="339" ht="38" customHeight="1">
      <x:c r="A339" s="22" t="str">
        <x:v>AS-12-1-C02</x:v>
      </x:c>
      <x:c r="B339" s="22" t="str">
        <x:v>AS-12</x:v>
      </x:c>
      <x:c r="C339" s="22" t="str">
        <x:v>Sleep / Night Routine</x:v>
      </x:c>
      <x:c r="D339" s="22" t="n">
        <x:v>1</x:v>
      </x:c>
      <x:c r="E339" s="22" t="str">
        <x:v>Core</x:v>
      </x:c>
      <x:c r="F339" s="22" t="str">
        <x:v>Offer toileting or repositioning when requested/indicated.</x:v>
      </x:c>
      <x:c r="G339" s="22" t="str">
        <x:v>Occasional nights / as needed</x:v>
      </x:c>
      <x:c r="H339" s="22" t="str">
        <x:v>Caregiver + nurse if persistent change</x:v>
      </x:c>
      <x:c r="I339" s="22"/>
      <x:c r="J339" s="22" t="str">
        <x:v>Night support becomes regular, repeated falls risk or day/night reversal.</x:v>
      </x:c>
    </x:row>
    <x:row r="340" ht="38" customHeight="1">
      <x:c r="A340" s="22" t="str">
        <x:v>AS-12-1-C03</x:v>
      </x:c>
      <x:c r="B340" s="22" t="str">
        <x:v>AS-12</x:v>
      </x:c>
      <x:c r="C340" s="22" t="str">
        <x:v>Sleep / Night Routine</x:v>
      </x:c>
      <x:c r="D340" s="22" t="n">
        <x:v>1</x:v>
      </x:c>
      <x:c r="E340" s="22" t="str">
        <x:v>Core</x:v>
      </x:c>
      <x:c r="F340" s="22" t="str">
        <x:v>Use low-stimulation approach during nighttime awakenings.</x:v>
      </x:c>
      <x:c r="G340" s="22" t="str">
        <x:v>Occasional nights / as needed</x:v>
      </x:c>
      <x:c r="H340" s="22" t="str">
        <x:v>Caregiver + nurse if persistent change</x:v>
      </x:c>
      <x:c r="I340" s="22"/>
      <x:c r="J340" s="22" t="str">
        <x:v>Night support becomes regular, repeated falls risk or day/night reversal.</x:v>
      </x:c>
    </x:row>
    <x:row r="341" ht="38" customHeight="1">
      <x:c r="A341" s="22" t="str">
        <x:v>AS-12-1-C04</x:v>
      </x:c>
      <x:c r="B341" s="22" t="str">
        <x:v>AS-12</x:v>
      </x:c>
      <x:c r="C341" s="22" t="str">
        <x:v>Sleep / Night Routine</x:v>
      </x:c>
      <x:c r="D341" s="22" t="n">
        <x:v>1</x:v>
      </x:c>
      <x:c r="E341" s="22" t="str">
        <x:v>Core</x:v>
      </x:c>
      <x:c r="F341" s="22" t="str">
        <x:v>Document recurring pattern if support becomes frequent.</x:v>
      </x:c>
      <x:c r="G341" s="22" t="str">
        <x:v>Occasional nights / as needed</x:v>
      </x:c>
      <x:c r="H341" s="22" t="str">
        <x:v>Caregiver + nurse if persistent change</x:v>
      </x:c>
      <x:c r="I341" s="22"/>
      <x:c r="J341" s="22" t="str">
        <x:v>Night support becomes regular, repeated falls risk or day/night reversal.</x:v>
      </x:c>
    </x:row>
    <x:row r="342" ht="38" customHeight="1">
      <x:c r="A342" s="22" t="str">
        <x:v>AS-12-1-X01</x:v>
      </x:c>
      <x:c r="B342" s="22" t="str">
        <x:v>AS-12</x:v>
      </x:c>
      <x:c r="C342" s="22" t="str">
        <x:v>Sleep / Night Routine</x:v>
      </x:c>
      <x:c r="D342" s="22" t="n">
        <x:v>1</x:v>
      </x:c>
      <x:c r="E342" s="22" t="str">
        <x:v>Condition-specific</x:v>
      </x:c>
      <x:c r="F342" s="22" t="str">
        <x:v>gentle reorientation to time/place.</x:v>
      </x:c>
      <x:c r="G342" s="22" t="str">
        <x:v>Occasional nights / as needed</x:v>
      </x:c>
      <x:c r="H342" s="22" t="str">
        <x:v>Caregiver + nurse if persistent change</x:v>
      </x:c>
      <x:c r="I342" s="22" t="str">
        <x:v>Early dementia</x:v>
      </x:c>
      <x:c r="J342" s="22" t="str">
        <x:v>Night support becomes regular, repeated falls risk or day/night reversal.</x:v>
      </x:c>
    </x:row>
    <x:row r="343" ht="38" customHeight="1">
      <x:c r="A343" s="22" t="str">
        <x:v>AS-12-1-X02</x:v>
      </x:c>
      <x:c r="B343" s="22" t="str">
        <x:v>AS-12</x:v>
      </x:c>
      <x:c r="C343" s="22" t="str">
        <x:v>Sleep / Night Routine</x:v>
      </x:c>
      <x:c r="D343" s="22" t="n">
        <x:v>1</x:v>
      </x:c>
      <x:c r="E343" s="22" t="str">
        <x:v>Condition-specific</x:v>
      </x:c>
      <x:c r="F343" s="22" t="str">
        <x:v>report repeated nighttime pain rather than only reassuring.</x:v>
      </x:c>
      <x:c r="G343" s="22" t="str">
        <x:v>Occasional nights / as needed</x:v>
      </x:c>
      <x:c r="H343" s="22" t="str">
        <x:v>Caregiver + nurse if persistent change</x:v>
      </x:c>
      <x:c r="I343" s="22" t="str">
        <x:v>Pain</x:v>
      </x:c>
      <x:c r="J343" s="22" t="str">
        <x:v>Night support becomes regular, repeated falls risk or day/night reversal.</x:v>
      </x:c>
    </x:row>
    <x:row r="344" ht="38" customHeight="1">
      <x:c r="A344" s="22" t="str">
        <x:v>AS-12-2-C01</x:v>
      </x:c>
      <x:c r="B344" s="22" t="str">
        <x:v>AS-12</x:v>
      </x:c>
      <x:c r="C344" s="22" t="str">
        <x:v>Sleep / Night Routine</x:v>
      </x:c>
      <x:c r="D344" s="22" t="n">
        <x:v>2</x:v>
      </x:c>
      <x:c r="E344" s="22" t="str">
        <x:v>Core</x:v>
      </x:c>
      <x:c r="F344" s="22" t="str">
        <x:v>Implement consistent bedtime routine and regular nighttime supports.</x:v>
      </x:c>
      <x:c r="G344" s="22" t="str">
        <x:v>Regular nightly</x:v>
      </x:c>
      <x:c r="H344" s="22" t="str">
        <x:v>Caregiver + nurse if persistent change</x:v>
      </x:c>
      <x:c r="I344" s="22"/>
      <x:c r="J344" s="22" t="str">
        <x:v>Frequent awakenings despite plan, agitation, unsafe wandering or marked daytime decline.</x:v>
      </x:c>
    </x:row>
    <x:row r="345" ht="38" customHeight="1">
      <x:c r="A345" s="22" t="str">
        <x:v>AS-12-2-C02</x:v>
      </x:c>
      <x:c r="B345" s="22" t="str">
        <x:v>AS-12</x:v>
      </x:c>
      <x:c r="C345" s="22" t="str">
        <x:v>Sleep / Night Routine</x:v>
      </x:c>
      <x:c r="D345" s="22" t="n">
        <x:v>2</x:v>
      </x:c>
      <x:c r="E345" s="22" t="str">
        <x:v>Core</x:v>
      </x:c>
      <x:c r="F345" s="22" t="str">
        <x:v>Provide scheduled toileting/repositioning if care plan indicates.</x:v>
      </x:c>
      <x:c r="G345" s="22" t="str">
        <x:v>Regular nightly</x:v>
      </x:c>
      <x:c r="H345" s="22" t="str">
        <x:v>Caregiver + nurse if persistent change</x:v>
      </x:c>
      <x:c r="I345" s="22"/>
      <x:c r="J345" s="22" t="str">
        <x:v>Frequent awakenings despite plan, agitation, unsafe wandering or marked daytime decline.</x:v>
      </x:c>
    </x:row>
    <x:row r="346" ht="38" customHeight="1">
      <x:c r="A346" s="22" t="str">
        <x:v>AS-12-2-C03</x:v>
      </x:c>
      <x:c r="B346" s="22" t="str">
        <x:v>AS-12</x:v>
      </x:c>
      <x:c r="C346" s="22" t="str">
        <x:v>Sleep / Night Routine</x:v>
      </x:c>
      <x:c r="D346" s="22" t="n">
        <x:v>2</x:v>
      </x:c>
      <x:c r="E346" s="22" t="str">
        <x:v>Core</x:v>
      </x:c>
      <x:c r="F346" s="22" t="str">
        <x:v>Reduce evening stimulation and support daytime activity/light exposure.</x:v>
      </x:c>
      <x:c r="G346" s="22" t="str">
        <x:v>Regular nightly</x:v>
      </x:c>
      <x:c r="H346" s="22" t="str">
        <x:v>Caregiver + nurse if persistent change</x:v>
      </x:c>
      <x:c r="I346" s="22"/>
      <x:c r="J346" s="22" t="str">
        <x:v>Frequent awakenings despite plan, agitation, unsafe wandering or marked daytime decline.</x:v>
      </x:c>
    </x:row>
    <x:row r="347" ht="38" customHeight="1">
      <x:c r="A347" s="22" t="str">
        <x:v>AS-12-2-C04</x:v>
      </x:c>
      <x:c r="B347" s="22" t="str">
        <x:v>AS-12</x:v>
      </x:c>
      <x:c r="C347" s="22" t="str">
        <x:v>Sleep / Night Routine</x:v>
      </x:c>
      <x:c r="D347" s="22" t="n">
        <x:v>2</x:v>
      </x:c>
      <x:c r="E347" s="22" t="str">
        <x:v>Core</x:v>
      </x:c>
      <x:c r="F347" s="22" t="str">
        <x:v>Track sleep pattern and effectiveness of interventions.</x:v>
      </x:c>
      <x:c r="G347" s="22" t="str">
        <x:v>Regular nightly</x:v>
      </x:c>
      <x:c r="H347" s="22" t="str">
        <x:v>Caregiver + nurse if persistent change</x:v>
      </x:c>
      <x:c r="I347" s="22"/>
      <x:c r="J347" s="22" t="str">
        <x:v>Frequent awakenings despite plan, agitation, unsafe wandering or marked daytime decline.</x:v>
      </x:c>
    </x:row>
    <x:row r="348" ht="38" customHeight="1">
      <x:c r="A348" s="22" t="str">
        <x:v>AS-12-2-X01</x:v>
      </x:c>
      <x:c r="B348" s="22" t="str">
        <x:v>AS-12</x:v>
      </x:c>
      <x:c r="C348" s="22" t="str">
        <x:v>Sleep / Night Routine</x:v>
      </x:c>
      <x:c r="D348" s="22" t="n">
        <x:v>2</x:v>
      </x:c>
      <x:c r="E348" s="22" t="str">
        <x:v>Condition-specific</x:v>
      </x:c>
      <x:c r="F348" s="22" t="str">
        <x:v>predictable evening routine, calm activity and reduced noise.</x:v>
      </x:c>
      <x:c r="G348" s="22" t="str">
        <x:v>Regular nightly</x:v>
      </x:c>
      <x:c r="H348" s="22" t="str">
        <x:v>Caregiver + nurse if persistent change</x:v>
      </x:c>
      <x:c r="I348" s="22" t="str">
        <x:v>Dementia sundowning</x:v>
      </x:c>
      <x:c r="J348" s="22" t="str">
        <x:v>Frequent awakenings despite plan, agitation, unsafe wandering or marked daytime decline.</x:v>
      </x:c>
    </x:row>
    <x:row r="349" ht="38" customHeight="1">
      <x:c r="A349" s="22" t="str">
        <x:v>AS-12-2-X02</x:v>
      </x:c>
      <x:c r="B349" s="22" t="str">
        <x:v>AS-12</x:v>
      </x:c>
      <x:c r="C349" s="22" t="str">
        <x:v>Sleep / Night Routine</x:v>
      </x:c>
      <x:c r="D349" s="22" t="n">
        <x:v>2</x:v>
      </x:c>
      <x:c r="E349" s="22" t="str">
        <x:v>Condition-specific</x:v>
      </x:c>
      <x:c r="F349" s="22" t="str">
        <x:v>planned toileting while minimizing sleep disruption.</x:v>
      </x:c>
      <x:c r="G349" s="22" t="str">
        <x:v>Regular nightly</x:v>
      </x:c>
      <x:c r="H349" s="22" t="str">
        <x:v>Caregiver + nurse if persistent change</x:v>
      </x:c>
      <x:c r="I349" s="22" t="str">
        <x:v>Nocturia/incontinence</x:v>
      </x:c>
      <x:c r="J349" s="22" t="str">
        <x:v>Frequent awakenings despite plan, agitation, unsafe wandering or marked daytime decline.</x:v>
      </x:c>
    </x:row>
    <x:row r="350" ht="38" customHeight="1">
      <x:c r="A350" s="22" t="str">
        <x:v>AS-12-3-C01</x:v>
      </x:c>
      <x:c r="B350" s="22" t="str">
        <x:v>AS-12</x:v>
      </x:c>
      <x:c r="C350" s="22" t="str">
        <x:v>Sleep / Night Routine</x:v>
      </x:c>
      <x:c r="D350" s="22" t="n">
        <x:v>3</x:v>
      </x:c>
      <x:c r="E350" s="22" t="str">
        <x:v>Core</x:v>
      </x:c>
      <x:c r="F350" s="22" t="str">
        <x:v>Provide frequent individualized interventions for sleep disruption.</x:v>
      </x:c>
      <x:c r="G350" s="22" t="str">
        <x:v>Frequent each night / day</x:v>
      </x:c>
      <x:c r="H350" s="22" t="str">
        <x:v>Caregiver + nurse if persistent change</x:v>
      </x:c>
      <x:c r="I350" s="22"/>
      <x:c r="J350" s="22" t="str">
        <x:v>Persistent severe disruption, delirium, recurrent nighttime falls or care burden escalation.</x:v>
      </x:c>
    </x:row>
    <x:row r="351" ht="38" customHeight="1">
      <x:c r="A351" s="22" t="str">
        <x:v>AS-12-3-C02</x:v>
      </x:c>
      <x:c r="B351" s="22" t="str">
        <x:v>AS-12</x:v>
      </x:c>
      <x:c r="C351" s="22" t="str">
        <x:v>Sleep / Night Routine</x:v>
      </x:c>
      <x:c r="D351" s="22" t="n">
        <x:v>3</x:v>
      </x:c>
      <x:c r="E351" s="22" t="str">
        <x:v>Core</x:v>
      </x:c>
      <x:c r="F351" s="22" t="str">
        <x:v>Use structured day/night schedule and consistent staff approach.</x:v>
      </x:c>
      <x:c r="G351" s="22" t="str">
        <x:v>Frequent each night / day</x:v>
      </x:c>
      <x:c r="H351" s="22" t="str">
        <x:v>Caregiver + nurse if persistent change</x:v>
      </x:c>
      <x:c r="I351" s="22"/>
      <x:c r="J351" s="22" t="str">
        <x:v>Persistent severe disruption, delirium, recurrent nighttime falls or care burden escalation.</x:v>
      </x:c>
    </x:row>
    <x:row r="352" ht="38" customHeight="1">
      <x:c r="A352" s="22" t="str">
        <x:v>AS-12-3-C03</x:v>
      </x:c>
      <x:c r="B352" s="22" t="str">
        <x:v>AS-12</x:v>
      </x:c>
      <x:c r="C352" s="22" t="str">
        <x:v>Sleep / Night Routine</x:v>
      </x:c>
      <x:c r="D352" s="22" t="n">
        <x:v>3</x:v>
      </x:c>
      <x:c r="E352" s="22" t="str">
        <x:v>Core</x:v>
      </x:c>
      <x:c r="F352" s="22" t="str">
        <x:v>Assess common causes of waking: pain, toileting, hunger, anxiety, environment.</x:v>
      </x:c>
      <x:c r="G352" s="22" t="str">
        <x:v>Frequent each night / day</x:v>
      </x:c>
      <x:c r="H352" s="22" t="str">
        <x:v>Caregiver + nurse if persistent change</x:v>
      </x:c>
      <x:c r="I352" s="22"/>
      <x:c r="J352" s="22" t="str">
        <x:v>Persistent severe disruption, delirium, recurrent nighttime falls or care burden escalation.</x:v>
      </x:c>
    </x:row>
    <x:row r="353" ht="38" customHeight="1">
      <x:c r="A353" s="22" t="str">
        <x:v>AS-12-3-C04</x:v>
      </x:c>
      <x:c r="B353" s="22" t="str">
        <x:v>AS-12</x:v>
      </x:c>
      <x:c r="C353" s="22" t="str">
        <x:v>Sleep / Night Routine</x:v>
      </x:c>
      <x:c r="D353" s="22" t="n">
        <x:v>3</x:v>
      </x:c>
      <x:c r="E353" s="22" t="str">
        <x:v>Core</x:v>
      </x:c>
      <x:c r="F353" s="22" t="str">
        <x:v>Coordinate clinical review for persistent change.</x:v>
      </x:c>
      <x:c r="G353" s="22" t="str">
        <x:v>Frequent each night / day</x:v>
      </x:c>
      <x:c r="H353" s="22" t="str">
        <x:v>Caregiver + nurse if persistent change</x:v>
      </x:c>
      <x:c r="I353" s="22"/>
      <x:c r="J353" s="22" t="str">
        <x:v>Persistent severe disruption, delirium, recurrent nighttime falls or care burden escalation.</x:v>
      </x:c>
    </x:row>
    <x:row r="354" ht="38" customHeight="1">
      <x:c r="A354" s="22" t="str">
        <x:v>AS-12-3-X01</x:v>
      </x:c>
      <x:c r="B354" s="22" t="str">
        <x:v>AS-12</x:v>
      </x:c>
      <x:c r="C354" s="22" t="str">
        <x:v>Sleep / Night Routine</x:v>
      </x:c>
      <x:c r="D354" s="22" t="n">
        <x:v>3</x:v>
      </x:c>
      <x:c r="E354" s="22" t="str">
        <x:v>Condition-specific</x:v>
      </x:c>
      <x:c r="F354" s="22" t="str">
        <x:v>daytime engagement plus calm evening cues.</x:v>
      </x:c>
      <x:c r="G354" s="22" t="str">
        <x:v>Frequent each night / day</x:v>
      </x:c>
      <x:c r="H354" s="22" t="str">
        <x:v>Caregiver + nurse if persistent change</x:v>
      </x:c>
      <x:c r="I354" s="22" t="str">
        <x:v>Advanced dementia</x:v>
      </x:c>
      <x:c r="J354" s="22" t="str">
        <x:v>Persistent severe disruption, delirium, recurrent nighttime falls or care burden escalation.</x:v>
      </x:c>
    </x:row>
    <x:row r="355" ht="38" customHeight="1">
      <x:c r="A355" s="22" t="str">
        <x:v>AS-12-3-X02</x:v>
      </x:c>
      <x:c r="B355" s="22" t="str">
        <x:v>AS-12</x:v>
      </x:c>
      <x:c r="C355" s="22" t="str">
        <x:v>Sleep / Night Routine</x:v>
      </x:c>
      <x:c r="D355" s="22" t="n">
        <x:v>3</x:v>
      </x:c>
      <x:c r="E355" s="22" t="str">
        <x:v>Condition-specific</x:v>
      </x:c>
      <x:c r="F355" s="22" t="str">
        <x:v>report loud snoring/apneas/daytime somnolence for medical review.</x:v>
      </x:c>
      <x:c r="G355" s="22" t="str">
        <x:v>Frequent each night / day</x:v>
      </x:c>
      <x:c r="H355" s="22" t="str">
        <x:v>Caregiver + nurse if persistent change</x:v>
      </x:c>
      <x:c r="I355" s="22" t="str">
        <x:v>Sleep apnea suspicion</x:v>
      </x:c>
      <x:c r="J355" s="22" t="str">
        <x:v>Persistent severe disruption, delirium, recurrent nighttime falls or care burden escalation.</x:v>
      </x:c>
    </x:row>
    <x:row r="356" ht="38" customHeight="1">
      <x:c r="A356" s="22" t="str">
        <x:v>AS-12-4-C01</x:v>
      </x:c>
      <x:c r="B356" s="22" t="str">
        <x:v>AS-12</x:v>
      </x:c>
      <x:c r="C356" s="22" t="str">
        <x:v>Sleep / Night Routine</x:v>
      </x:c>
      <x:c r="D356" s="22" t="n">
        <x:v>4</x:v>
      </x:c>
      <x:c r="E356" s="22" t="str">
        <x:v>Core</x:v>
      </x:c>
      <x:c r="F356" s="22" t="str">
        <x:v>Provide intensive individualized day/night support while prioritizing comfort.</x:v>
      </x:c>
      <x:c r="G356" s="22" t="str">
        <x:v>High-frequency / persistent</x:v>
      </x:c>
      <x:c r="H356" s="22" t="str">
        <x:v>Caregiver + nurse if persistent change</x:v>
      </x:c>
      <x:c r="I356" s="22"/>
      <x:c r="J356" s="22" t="str">
        <x:v>Inability to maintain safety, acute delirium or need for one-to-one support beyond capability.</x:v>
      </x:c>
    </x:row>
    <x:row r="357" ht="38" customHeight="1">
      <x:c r="A357" s="22" t="str">
        <x:v>AS-12-4-C02</x:v>
      </x:c>
      <x:c r="B357" s="22" t="str">
        <x:v>AS-12</x:v>
      </x:c>
      <x:c r="C357" s="22" t="str">
        <x:v>Sleep / Night Routine</x:v>
      </x:c>
      <x:c r="D357" s="22" t="n">
        <x:v>4</x:v>
      </x:c>
      <x:c r="E357" s="22" t="str">
        <x:v>Core</x:v>
      </x:c>
      <x:c r="F357" s="22" t="str">
        <x:v>Maintain close supervision during unsafe nighttime activity.</x:v>
      </x:c>
      <x:c r="G357" s="22" t="str">
        <x:v>High-frequency / persistent</x:v>
      </x:c>
      <x:c r="H357" s="22" t="str">
        <x:v>Caregiver + nurse if persistent change</x:v>
      </x:c>
      <x:c r="I357" s="22"/>
      <x:c r="J357" s="22" t="str">
        <x:v>Inability to maintain safety, acute delirium or need for one-to-one support beyond capability.</x:v>
      </x:c>
    </x:row>
    <x:row r="358" ht="38" customHeight="1">
      <x:c r="A358" s="22" t="str">
        <x:v>AS-12-4-C03</x:v>
      </x:c>
      <x:c r="B358" s="22" t="str">
        <x:v>AS-12</x:v>
      </x:c>
      <x:c r="C358" s="22" t="str">
        <x:v>Sleep / Night Routine</x:v>
      </x:c>
      <x:c r="D358" s="22" t="n">
        <x:v>4</x:v>
      </x:c>
      <x:c r="E358" s="22" t="str">
        <x:v>Core</x:v>
      </x:c>
      <x:c r="F358" s="22" t="str">
        <x:v>Use non-pharmacologic calming and familiar routines first where appropriate.</x:v>
      </x:c>
      <x:c r="G358" s="22" t="str">
        <x:v>High-frequency / persistent</x:v>
      </x:c>
      <x:c r="H358" s="22" t="str">
        <x:v>Caregiver + nurse if persistent change</x:v>
      </x:c>
      <x:c r="I358" s="22"/>
      <x:c r="J358" s="22" t="str">
        <x:v>Inability to maintain safety, acute delirium or need for one-to-one support beyond capability.</x:v>
      </x:c>
    </x:row>
    <x:row r="359" ht="38" customHeight="1">
      <x:c r="A359" s="22" t="str">
        <x:v>AS-12-4-C04</x:v>
      </x:c>
      <x:c r="B359" s="22" t="str">
        <x:v>AS-12</x:v>
      </x:c>
      <x:c r="C359" s="22" t="str">
        <x:v>Sleep / Night Routine</x:v>
      </x:c>
      <x:c r="D359" s="22" t="n">
        <x:v>4</x:v>
      </x:c>
      <x:c r="E359" s="22" t="str">
        <x:v>Core</x:v>
      </x:c>
      <x:c r="F359" s="22" t="str">
        <x:v>Escalate sudden severe sleep/wake change as possible acute illness/delirium.</x:v>
      </x:c>
      <x:c r="G359" s="22" t="str">
        <x:v>High-frequency / persistent</x:v>
      </x:c>
      <x:c r="H359" s="22" t="str">
        <x:v>Caregiver + nurse if persistent change</x:v>
      </x:c>
      <x:c r="I359" s="22"/>
      <x:c r="J359" s="22" t="str">
        <x:v>Inability to maintain safety, acute delirium or need for one-to-one support beyond capability.</x:v>
      </x:c>
    </x:row>
    <x:row r="360" ht="38" customHeight="1">
      <x:c r="A360" s="22" t="str">
        <x:v>AS-12-4-X01</x:v>
      </x:c>
      <x:c r="B360" s="22" t="str">
        <x:v>AS-12</x:v>
      </x:c>
      <x:c r="C360" s="22" t="str">
        <x:v>Sleep / Night Routine</x:v>
      </x:c>
      <x:c r="D360" s="22" t="n">
        <x:v>4</x:v>
      </x:c>
      <x:c r="E360" s="22" t="str">
        <x:v>Condition-specific</x:v>
      </x:c>
      <x:c r="F360" s="22" t="str">
        <x:v>individualized 24-hour routine with meaningful daytime activity.</x:v>
      </x:c>
      <x:c r="G360" s="22" t="str">
        <x:v>High-frequency / persistent</x:v>
      </x:c>
      <x:c r="H360" s="22" t="str">
        <x:v>Caregiver + nurse if persistent change</x:v>
      </x:c>
      <x:c r="I360" s="22" t="str">
        <x:v>Severe dementia day-night reversal</x:v>
      </x:c>
      <x:c r="J360" s="22" t="str">
        <x:v>Inability to maintain safety, acute delirium or need for one-to-one support beyond capability.</x:v>
      </x:c>
    </x:row>
    <x:row r="361" ht="38" customHeight="1">
      <x:c r="A361" s="22" t="str">
        <x:v>AS-12-4-X02</x:v>
      </x:c>
      <x:c r="B361" s="22" t="str">
        <x:v>AS-12</x:v>
      </x:c>
      <x:c r="C361" s="22" t="str">
        <x:v>Sleep / Night Routine</x:v>
      </x:c>
      <x:c r="D361" s="22" t="n">
        <x:v>4</x:v>
      </x:c>
      <x:c r="E361" s="22" t="str">
        <x:v>Condition-specific</x:v>
      </x:c>
      <x:c r="F361" s="22" t="str">
        <x:v>align nighttime interventions with comfort-focused goals.</x:v>
      </x:c>
      <x:c r="G361" s="22" t="str">
        <x:v>High-frequency / persistent</x:v>
      </x:c>
      <x:c r="H361" s="22" t="str">
        <x:v>Caregiver + nurse if persistent change</x:v>
      </x:c>
      <x:c r="I361" s="22" t="str">
        <x:v>Terminal illness</x:v>
      </x:c>
      <x:c r="J361" s="22" t="str">
        <x:v>Inability to maintain safety, acute delirium or need for one-to-one support beyond capability.</x:v>
      </x:c>
    </x:row>
    <x:row r="362" ht="38" customHeight="1">
      <x:c r="A362" s="22" t="str">
        <x:v>AS-13-0-C01</x:v>
      </x:c>
      <x:c r="B362" s="22" t="str">
        <x:v>AS-13</x:v>
      </x:c>
      <x:c r="C362" s="22" t="str">
        <x:v>Safety / Supervision</x:v>
      </x:c>
      <x:c r="D362" s="22" t="n">
        <x:v>0</x:v>
      </x:c>
      <x:c r="E362" s="22" t="str">
        <x:v>Core</x:v>
      </x:c>
      <x:c r="F362" s="22" t="str">
        <x:v>Maintain routine environmental safety checks.</x:v>
      </x:c>
      <x:c r="G362" s="22" t="str">
        <x:v>Routine</x:v>
      </x:c>
      <x:c r="H362" s="22" t="str">
        <x:v>Caregiver + nurse / administrator per risk plan</x:v>
      </x:c>
      <x:c r="I362" s="22"/>
      <x:c r="J362" s="22" t="str">
        <x:v>New unsafe behavior, wandering, fire risk or inability to seek help.</x:v>
      </x:c>
    </x:row>
    <x:row r="363" ht="38" customHeight="1">
      <x:c r="A363" s="22" t="str">
        <x:v>AS-13-0-C02</x:v>
      </x:c>
      <x:c r="B363" s="22" t="str">
        <x:v>AS-13</x:v>
      </x:c>
      <x:c r="C363" s="22" t="str">
        <x:v>Safety / Supervision</x:v>
      </x:c>
      <x:c r="D363" s="22" t="n">
        <x:v>0</x:v>
      </x:c>
      <x:c r="E363" s="22" t="str">
        <x:v>Core</x:v>
      </x:c>
      <x:c r="F363" s="22" t="str">
        <x:v>Keep emergency/call systems accessible.</x:v>
      </x:c>
      <x:c r="G363" s="22" t="str">
        <x:v>Routine</x:v>
      </x:c>
      <x:c r="H363" s="22" t="str">
        <x:v>Caregiver + nurse / administrator per risk plan</x:v>
      </x:c>
      <x:c r="I363" s="22"/>
      <x:c r="J363" s="22" t="str">
        <x:v>New unsafe behavior, wandering, fire risk or inability to seek help.</x:v>
      </x:c>
    </x:row>
    <x:row r="364" ht="38" customHeight="1">
      <x:c r="A364" s="22" t="str">
        <x:v>AS-13-0-C03</x:v>
      </x:c>
      <x:c r="B364" s="22" t="str">
        <x:v>AS-13</x:v>
      </x:c>
      <x:c r="C364" s="22" t="str">
        <x:v>Safety / Supervision</x:v>
      </x:c>
      <x:c r="D364" s="22" t="n">
        <x:v>0</x:v>
      </x:c>
      <x:c r="E364" s="22" t="str">
        <x:v>Core</x:v>
      </x:c>
      <x:c r="F364" s="22" t="str">
        <x:v>Respect resident’s normal independence and privacy.</x:v>
      </x:c>
      <x:c r="G364" s="22" t="str">
        <x:v>Routine</x:v>
      </x:c>
      <x:c r="H364" s="22" t="str">
        <x:v>Caregiver + nurse / administrator per risk plan</x:v>
      </x:c>
      <x:c r="I364" s="22"/>
      <x:c r="J364" s="22" t="str">
        <x:v>New unsafe behavior, wandering, fire risk or inability to seek help.</x:v>
      </x:c>
    </x:row>
    <x:row r="365" ht="38" customHeight="1">
      <x:c r="A365" s="22" t="str">
        <x:v>AS-13-0-C04</x:v>
      </x:c>
      <x:c r="B365" s="22" t="str">
        <x:v>AS-13</x:v>
      </x:c>
      <x:c r="C365" s="22" t="str">
        <x:v>Safety / Supervision</x:v>
      </x:c>
      <x:c r="D365" s="22" t="n">
        <x:v>0</x:v>
      </x:c>
      <x:c r="E365" s="22" t="str">
        <x:v>Core</x:v>
      </x:c>
      <x:c r="F365" s="22" t="str">
        <x:v>Document any new safety event or unsafe judgment.</x:v>
      </x:c>
      <x:c r="G365" s="22" t="str">
        <x:v>Routine</x:v>
      </x:c>
      <x:c r="H365" s="22" t="str">
        <x:v>Caregiver + nurse / administrator per risk plan</x:v>
      </x:c>
      <x:c r="I365" s="22"/>
      <x:c r="J365" s="22" t="str">
        <x:v>New unsafe behavior, wandering, fire risk or inability to seek help.</x:v>
      </x:c>
    </x:row>
    <x:row r="366" ht="38" customHeight="1">
      <x:c r="A366" s="22" t="str">
        <x:v>AS-13-0-X01</x:v>
      </x:c>
      <x:c r="B366" s="22" t="str">
        <x:v>AS-13</x:v>
      </x:c>
      <x:c r="C366" s="22" t="str">
        <x:v>Safety / Supervision</x:v>
      </x:c>
      <x:c r="D366" s="22" t="n">
        <x:v>0</x:v>
      </x:c>
      <x:c r="E366" s="22" t="str">
        <x:v>Condition-specific</x:v>
      </x:c>
      <x:c r="F366" s="22" t="str">
        <x:v>ensure resident follows usual safe practices.</x:v>
      </x:c>
      <x:c r="G366" s="22" t="str">
        <x:v>Routine</x:v>
      </x:c>
      <x:c r="H366" s="22" t="str">
        <x:v>Caregiver + nurse / administrator per risk plan</x:v>
      </x:c>
      <x:c r="I366" s="22" t="str">
        <x:v>Kitchen use</x:v>
      </x:c>
      <x:c r="J366" s="22" t="str">
        <x:v>New unsafe behavior, wandering, fire risk or inability to seek help.</x:v>
      </x:c>
    </x:row>
    <x:row r="367" ht="38" customHeight="1">
      <x:c r="A367" s="22" t="str">
        <x:v>AS-13-0-X02</x:v>
      </x:c>
      <x:c r="B367" s="22" t="str">
        <x:v>AS-13</x:v>
      </x:c>
      <x:c r="C367" s="22" t="str">
        <x:v>Safety / Supervision</x:v>
      </x:c>
      <x:c r="D367" s="22" t="n">
        <x:v>0</x:v>
      </x:c>
      <x:c r="E367" s="22" t="str">
        <x:v>Condition-specific</x:v>
      </x:c>
      <x:c r="F367" s="22" t="str">
        <x:v>normal sign-out/communication process.</x:v>
      </x:c>
      <x:c r="G367" s="22" t="str">
        <x:v>Routine</x:v>
      </x:c>
      <x:c r="H367" s="22" t="str">
        <x:v>Caregiver + nurse / administrator per risk plan</x:v>
      </x:c>
      <x:c r="I367" s="22" t="str">
        <x:v>Community outings</x:v>
      </x:c>
      <x:c r="J367" s="22" t="str">
        <x:v>New unsafe behavior, wandering, fire risk or inability to seek help.</x:v>
      </x:c>
    </x:row>
    <x:row r="368" ht="38" customHeight="1">
      <x:c r="A368" s="22" t="str">
        <x:v>AS-13-1-C01</x:v>
      </x:c>
      <x:c r="B368" s="22" t="str">
        <x:v>AS-13</x:v>
      </x:c>
      <x:c r="C368" s="22" t="str">
        <x:v>Safety / Supervision</x:v>
      </x:c>
      <x:c r="D368" s="22" t="n">
        <x:v>1</x:v>
      </x:c>
      <x:c r="E368" s="22" t="str">
        <x:v>Core</x:v>
      </x:c>
      <x:c r="F368" s="22" t="str">
        <x:v>Provide occasional reminders about identified safety risks.</x:v>
      </x:c>
      <x:c r="G368" s="22" t="str">
        <x:v>Occasional / situational</x:v>
      </x:c>
      <x:c r="H368" s="22" t="str">
        <x:v>Caregiver + nurse / administrator per risk plan</x:v>
      </x:c>
      <x:c r="I368" s="22"/>
      <x:c r="J368" s="22" t="str">
        <x:v>Regular supervision becomes necessary or unsafe judgment increases.</x:v>
      </x:c>
    </x:row>
    <x:row r="369" ht="38" customHeight="1">
      <x:c r="A369" s="22" t="str">
        <x:v>AS-13-1-C02</x:v>
      </x:c>
      <x:c r="B369" s="22" t="str">
        <x:v>AS-13</x:v>
      </x:c>
      <x:c r="C369" s="22" t="str">
        <x:v>Safety / Supervision</x:v>
      </x:c>
      <x:c r="D369" s="22" t="n">
        <x:v>1</x:v>
      </x:c>
      <x:c r="E369" s="22" t="str">
        <x:v>Core</x:v>
      </x:c>
      <x:c r="F369" s="22" t="str">
        <x:v>Check that commonly used equipment is used correctly.</x:v>
      </x:c>
      <x:c r="G369" s="22" t="str">
        <x:v>Occasional / situational</x:v>
      </x:c>
      <x:c r="H369" s="22" t="str">
        <x:v>Caregiver + nurse / administrator per risk plan</x:v>
      </x:c>
      <x:c r="I369" s="22"/>
      <x:c r="J369" s="22" t="str">
        <x:v>Regular supervision becomes necessary or unsafe judgment increases.</x:v>
      </x:c>
    </x:row>
    <x:row r="370" ht="38" customHeight="1">
      <x:c r="A370" s="22" t="str">
        <x:v>AS-13-1-C03</x:v>
      </x:c>
      <x:c r="B370" s="22" t="str">
        <x:v>AS-13</x:v>
      </x:c>
      <x:c r="C370" s="22" t="str">
        <x:v>Safety / Supervision</x:v>
      </x:c>
      <x:c r="D370" s="22" t="n">
        <x:v>1</x:v>
      </x:c>
      <x:c r="E370" s="22" t="str">
        <x:v>Core</x:v>
      </x:c>
      <x:c r="F370" s="22" t="str">
        <x:v>Offer standby supervision for unfamiliar/high-risk situations.</x:v>
      </x:c>
      <x:c r="G370" s="22" t="str">
        <x:v>Occasional / situational</x:v>
      </x:c>
      <x:c r="H370" s="22" t="str">
        <x:v>Caregiver + nurse / administrator per risk plan</x:v>
      </x:c>
      <x:c r="I370" s="22"/>
      <x:c r="J370" s="22" t="str">
        <x:v>Regular supervision becomes necessary or unsafe judgment increases.</x:v>
      </x:c>
    </x:row>
    <x:row r="371" ht="38" customHeight="1">
      <x:c r="A371" s="22" t="str">
        <x:v>AS-13-1-C04</x:v>
      </x:c>
      <x:c r="B371" s="22" t="str">
        <x:v>AS-13</x:v>
      </x:c>
      <x:c r="C371" s="22" t="str">
        <x:v>Safety / Supervision</x:v>
      </x:c>
      <x:c r="D371" s="22" t="n">
        <x:v>1</x:v>
      </x:c>
      <x:c r="E371" s="22" t="str">
        <x:v>Core</x:v>
      </x:c>
      <x:c r="F371" s="22" t="str">
        <x:v>Document repeated unsafe choices.</x:v>
      </x:c>
      <x:c r="G371" s="22" t="str">
        <x:v>Occasional / situational</x:v>
      </x:c>
      <x:c r="H371" s="22" t="str">
        <x:v>Caregiver + nurse / administrator per risk plan</x:v>
      </x:c>
      <x:c r="I371" s="22"/>
      <x:c r="J371" s="22" t="str">
        <x:v>Regular supervision becomes necessary or unsafe judgment increases.</x:v>
      </x:c>
    </x:row>
    <x:row r="372" ht="38" customHeight="1">
      <x:c r="A372" s="22" t="str">
        <x:v>AS-13-1-X01</x:v>
      </x:c>
      <x:c r="B372" s="22" t="str">
        <x:v>AS-13</x:v>
      </x:c>
      <x:c r="C372" s="22" t="str">
        <x:v>Safety / Supervision</x:v>
      </x:c>
      <x:c r="D372" s="22" t="n">
        <x:v>1</x:v>
      </x:c>
      <x:c r="E372" s="22" t="str">
        <x:v>Condition-specific</x:v>
      </x:c>
      <x:c r="F372" s="22" t="str">
        <x:v>reminders for locking brakes, calling for help.</x:v>
      </x:c>
      <x:c r="G372" s="22" t="str">
        <x:v>Occasional / situational</x:v>
      </x:c>
      <x:c r="H372" s="22" t="str">
        <x:v>Caregiver + nurse / administrator per risk plan</x:v>
      </x:c>
      <x:c r="I372" s="22" t="str">
        <x:v>Mild cognitive impairment</x:v>
      </x:c>
      <x:c r="J372" s="22" t="str">
        <x:v>Regular supervision becomes necessary or unsafe judgment increases.</x:v>
      </x:c>
    </x:row>
    <x:row r="373" ht="38" customHeight="1">
      <x:c r="A373" s="22" t="str">
        <x:v>AS-13-1-X02</x:v>
      </x:c>
      <x:c r="B373" s="22" t="str">
        <x:v>AS-13</x:v>
      </x:c>
      <x:c r="C373" s="22" t="str">
        <x:v>Safety / Supervision</x:v>
      </x:c>
      <x:c r="D373" s="22" t="n">
        <x:v>1</x:v>
      </x:c>
      <x:c r="E373" s="22" t="str">
        <x:v>Condition-specific</x:v>
      </x:c>
      <x:c r="F373" s="22" t="str">
        <x:v>keep environment consistent and hazards removed.</x:v>
      </x:c>
      <x:c r="G373" s="22" t="str">
        <x:v>Occasional / situational</x:v>
      </x:c>
      <x:c r="H373" s="22" t="str">
        <x:v>Caregiver + nurse / administrator per risk plan</x:v>
      </x:c>
      <x:c r="I373" s="22" t="str">
        <x:v>Low vision</x:v>
      </x:c>
      <x:c r="J373" s="22" t="str">
        <x:v>Regular supervision becomes necessary or unsafe judgment increases.</x:v>
      </x:c>
    </x:row>
    <x:row r="374" ht="38" customHeight="1">
      <x:c r="A374" s="22" t="str">
        <x:v>AS-13-2-C01</x:v>
      </x:c>
      <x:c r="B374" s="22" t="str">
        <x:v>AS-13</x:v>
      </x:c>
      <x:c r="C374" s="22" t="str">
        <x:v>Safety / Supervision</x:v>
      </x:c>
      <x:c r="D374" s="22" t="n">
        <x:v>2</x:v>
      </x:c>
      <x:c r="E374" s="22" t="str">
        <x:v>Core</x:v>
      </x:c>
      <x:c r="F374" s="22" t="str">
        <x:v>Provide regular supervision and individualized safety precautions.</x:v>
      </x:c>
      <x:c r="G374" s="22" t="str">
        <x:v>Regular throughout day</x:v>
      </x:c>
      <x:c r="H374" s="22" t="str">
        <x:v>Caregiver + nurse / administrator per risk plan</x:v>
      </x:c>
      <x:c r="I374" s="22"/>
      <x:c r="J374" s="22" t="str">
        <x:v>Exit-seeking, repeated unsafe acts, injury or frequent redirection need.</x:v>
      </x:c>
    </x:row>
    <x:row r="375" ht="38" customHeight="1">
      <x:c r="A375" s="22" t="str">
        <x:v>AS-13-2-C02</x:v>
      </x:c>
      <x:c r="B375" s="22" t="str">
        <x:v>AS-13</x:v>
      </x:c>
      <x:c r="C375" s="22" t="str">
        <x:v>Safety / Supervision</x:v>
      </x:c>
      <x:c r="D375" s="22" t="n">
        <x:v>2</x:v>
      </x:c>
      <x:c r="E375" s="22" t="str">
        <x:v>Core</x:v>
      </x:c>
      <x:c r="F375" s="22" t="str">
        <x:v>Use predictable routine/environment to reduce risk.</x:v>
      </x:c>
      <x:c r="G375" s="22" t="str">
        <x:v>Regular throughout day</x:v>
      </x:c>
      <x:c r="H375" s="22" t="str">
        <x:v>Caregiver + nurse / administrator per risk plan</x:v>
      </x:c>
      <x:c r="I375" s="22"/>
      <x:c r="J375" s="22" t="str">
        <x:v>Exit-seeking, repeated unsafe acts, injury or frequent redirection need.</x:v>
      </x:c>
    </x:row>
    <x:row r="376" ht="38" customHeight="1">
      <x:c r="A376" s="22" t="str">
        <x:v>AS-13-2-C03</x:v>
      </x:c>
      <x:c r="B376" s="22" t="str">
        <x:v>AS-13</x:v>
      </x:c>
      <x:c r="C376" s="22" t="str">
        <x:v>Safety / Supervision</x:v>
      </x:c>
      <x:c r="D376" s="22" t="n">
        <x:v>2</x:v>
      </x:c>
      <x:c r="E376" s="22" t="str">
        <x:v>Core</x:v>
      </x:c>
      <x:c r="F376" s="22" t="str">
        <x:v>Supervise identified high-risk activities and exits as care plan requires.</x:v>
      </x:c>
      <x:c r="G376" s="22" t="str">
        <x:v>Regular throughout day</x:v>
      </x:c>
      <x:c r="H376" s="22" t="str">
        <x:v>Caregiver + nurse / administrator per risk plan</x:v>
      </x:c>
      <x:c r="I376" s="22"/>
      <x:c r="J376" s="22" t="str">
        <x:v>Exit-seeking, repeated unsafe acts, injury or frequent redirection need.</x:v>
      </x:c>
    </x:row>
    <x:row r="377" ht="38" customHeight="1">
      <x:c r="A377" s="22" t="str">
        <x:v>AS-13-2-C04</x:v>
      </x:c>
      <x:c r="B377" s="22" t="str">
        <x:v>AS-13</x:v>
      </x:c>
      <x:c r="C377" s="22" t="str">
        <x:v>Safety / Supervision</x:v>
      </x:c>
      <x:c r="D377" s="22" t="n">
        <x:v>2</x:v>
      </x:c>
      <x:c r="E377" s="22" t="str">
        <x:v>Core</x:v>
      </x:c>
      <x:c r="F377" s="22" t="str">
        <x:v>Communicate current risks and effective precautions at handoff.</x:v>
      </x:c>
      <x:c r="G377" s="22" t="str">
        <x:v>Regular throughout day</x:v>
      </x:c>
      <x:c r="H377" s="22" t="str">
        <x:v>Caregiver + nurse / administrator per risk plan</x:v>
      </x:c>
      <x:c r="I377" s="22"/>
      <x:c r="J377" s="22" t="str">
        <x:v>Exit-seeking, repeated unsafe acts, injury or frequent redirection need.</x:v>
      </x:c>
    </x:row>
    <x:row r="378" ht="38" customHeight="1">
      <x:c r="A378" s="22" t="str">
        <x:v>AS-13-2-X01</x:v>
      </x:c>
      <x:c r="B378" s="22" t="str">
        <x:v>AS-13</x:v>
      </x:c>
      <x:c r="C378" s="22" t="str">
        <x:v>Safety / Supervision</x:v>
      </x:c>
      <x:c r="D378" s="22" t="n">
        <x:v>2</x:v>
      </x:c>
      <x:c r="E378" s="22" t="str">
        <x:v>Condition-specific</x:v>
      </x:c>
      <x:c r="F378" s="22" t="str">
        <x:v>door/wayfinding cues and supervised community access.</x:v>
      </x:c>
      <x:c r="G378" s="22" t="str">
        <x:v>Regular throughout day</x:v>
      </x:c>
      <x:c r="H378" s="22" t="str">
        <x:v>Caregiver + nurse / administrator per risk plan</x:v>
      </x:c>
      <x:c r="I378" s="22" t="str">
        <x:v>Dementia</x:v>
      </x:c>
      <x:c r="J378" s="22" t="str">
        <x:v>Exit-seeking, repeated unsafe acts, injury or frequent redirection need.</x:v>
      </x:c>
    </x:row>
    <x:row r="379" ht="38" customHeight="1">
      <x:c r="A379" s="22" t="str">
        <x:v>AS-13-2-X02</x:v>
      </x:c>
      <x:c r="B379" s="22" t="str">
        <x:v>AS-13</x:v>
      </x:c>
      <x:c r="C379" s="22" t="str">
        <x:v>Safety / Supervision</x:v>
      </x:c>
      <x:c r="D379" s="22" t="n">
        <x:v>2</x:v>
      </x:c>
      <x:c r="E379" s="22" t="str">
        <x:v>Condition-specific</x:v>
      </x:c>
      <x:c r="F379" s="22" t="str">
        <x:v>limit only specific high-risk activities, not general autonomy.</x:v>
      </x:c>
      <x:c r="G379" s="22" t="str">
        <x:v>Regular throughout day</x:v>
      </x:c>
      <x:c r="H379" s="22" t="str">
        <x:v>Caregiver + nurse / administrator per risk plan</x:v>
      </x:c>
      <x:c r="I379" s="22" t="str">
        <x:v>Unsafe judgment</x:v>
      </x:c>
      <x:c r="J379" s="22" t="str">
        <x:v>Exit-seeking, repeated unsafe acts, injury or frequent redirection need.</x:v>
      </x:c>
    </x:row>
    <x:row r="380" ht="38" customHeight="1">
      <x:c r="A380" s="22" t="str">
        <x:v>AS-13-3-C01</x:v>
      </x:c>
      <x:c r="B380" s="22" t="str">
        <x:v>AS-13</x:v>
      </x:c>
      <x:c r="C380" s="22" t="str">
        <x:v>Safety / Supervision</x:v>
      </x:c>
      <x:c r="D380" s="22" t="n">
        <x:v>3</x:v>
      </x:c>
      <x:c r="E380" s="22" t="str">
        <x:v>Core</x:v>
      </x:c>
      <x:c r="F380" s="22" t="str">
        <x:v>Provide frequent supervision/redirection during waking hours or identified periods.</x:v>
      </x:c>
      <x:c r="G380" s="22" t="str">
        <x:v>Frequent / high-risk periods</x:v>
      </x:c>
      <x:c r="H380" s="22" t="str">
        <x:v>Caregiver + nurse / administrator per risk plan</x:v>
      </x:c>
      <x:c r="I380" s="22"/>
      <x:c r="J380" s="22" t="str">
        <x:v>Near-elopement, recurrent injury risk or need for continuous observation.</x:v>
      </x:c>
    </x:row>
    <x:row r="381" ht="38" customHeight="1">
      <x:c r="A381" s="22" t="str">
        <x:v>AS-13-3-C02</x:v>
      </x:c>
      <x:c r="B381" s="22" t="str">
        <x:v>AS-13</x:v>
      </x:c>
      <x:c r="C381" s="22" t="str">
        <x:v>Safety / Supervision</x:v>
      </x:c>
      <x:c r="D381" s="22" t="n">
        <x:v>3</x:v>
      </x:c>
      <x:c r="E381" s="22" t="str">
        <x:v>Core</x:v>
      </x:c>
      <x:c r="F381" s="22" t="str">
        <x:v>Use least restrictive environmental controls allowed by policy.</x:v>
      </x:c>
      <x:c r="G381" s="22" t="str">
        <x:v>Frequent / high-risk periods</x:v>
      </x:c>
      <x:c r="H381" s="22" t="str">
        <x:v>Caregiver + nurse / administrator per risk plan</x:v>
      </x:c>
      <x:c r="I381" s="22"/>
      <x:c r="J381" s="22" t="str">
        <x:v>Near-elopement, recurrent injury risk or need for continuous observation.</x:v>
      </x:c>
    </x:row>
    <x:row r="382" ht="38" customHeight="1">
      <x:c r="A382" s="22" t="str">
        <x:v>AS-13-3-C03</x:v>
      </x:c>
      <x:c r="B382" s="22" t="str">
        <x:v>AS-13</x:v>
      </x:c>
      <x:c r="C382" s="22" t="str">
        <x:v>Safety / Supervision</x:v>
      </x:c>
      <x:c r="D382" s="22" t="n">
        <x:v>3</x:v>
      </x:c>
      <x:c r="E382" s="22" t="str">
        <x:v>Core</x:v>
      </x:c>
      <x:c r="F382" s="22" t="str">
        <x:v>Offer purposeful activity to reduce unsafe wandering/impulsivity.</x:v>
      </x:c>
      <x:c r="G382" s="22" t="str">
        <x:v>Frequent / high-risk periods</x:v>
      </x:c>
      <x:c r="H382" s="22" t="str">
        <x:v>Caregiver + nurse / administrator per risk plan</x:v>
      </x:c>
      <x:c r="I382" s="22"/>
      <x:c r="J382" s="22" t="str">
        <x:v>Near-elopement, recurrent injury risk or need for continuous observation.</x:v>
      </x:c>
    </x:row>
    <x:row r="383" ht="38" customHeight="1">
      <x:c r="A383" s="22" t="str">
        <x:v>AS-13-3-C04</x:v>
      </x:c>
      <x:c r="B383" s="22" t="str">
        <x:v>AS-13</x:v>
      </x:c>
      <x:c r="C383" s="22" t="str">
        <x:v>Safety / Supervision</x:v>
      </x:c>
      <x:c r="D383" s="22" t="n">
        <x:v>3</x:v>
      </x:c>
      <x:c r="E383" s="22" t="str">
        <x:v>Core</x:v>
      </x:c>
      <x:c r="F383" s="22" t="str">
        <x:v>Maintain rapid response plan for elopement or serious safety event.</x:v>
      </x:c>
      <x:c r="G383" s="22" t="str">
        <x:v>Frequent / high-risk periods</x:v>
      </x:c>
      <x:c r="H383" s="22" t="str">
        <x:v>Caregiver + nurse / administrator per risk plan</x:v>
      </x:c>
      <x:c r="I383" s="22"/>
      <x:c r="J383" s="22" t="str">
        <x:v>Near-elopement, recurrent injury risk or need for continuous observation.</x:v>
      </x:c>
    </x:row>
    <x:row r="384" ht="38" customHeight="1">
      <x:c r="A384" s="22" t="str">
        <x:v>AS-13-3-X01</x:v>
      </x:c>
      <x:c r="B384" s="22" t="str">
        <x:v>AS-13</x:v>
      </x:c>
      <x:c r="C384" s="22" t="str">
        <x:v>Safety / Supervision</x:v>
      </x:c>
      <x:c r="D384" s="22" t="n">
        <x:v>3</x:v>
      </x:c>
      <x:c r="E384" s="22" t="str">
        <x:v>Condition-specific</x:v>
      </x:c>
      <x:c r="F384" s="22" t="str">
        <x:v>supervised walking route and identification procedures.</x:v>
      </x:c>
      <x:c r="G384" s="22" t="str">
        <x:v>Frequent / high-risk periods</x:v>
      </x:c>
      <x:c r="H384" s="22" t="str">
        <x:v>Caregiver + nurse / administrator per risk plan</x:v>
      </x:c>
      <x:c r="I384" s="22" t="str">
        <x:v>Wandering</x:v>
      </x:c>
      <x:c r="J384" s="22" t="str">
        <x:v>Near-elopement, recurrent injury risk or need for continuous observation.</x:v>
      </x:c>
    </x:row>
    <x:row r="385" ht="38" customHeight="1">
      <x:c r="A385" s="22" t="str">
        <x:v>AS-13-3-X02</x:v>
      </x:c>
      <x:c r="B385" s="22" t="str">
        <x:v>AS-13</x:v>
      </x:c>
      <x:c r="C385" s="22" t="str">
        <x:v>Safety / Supervision</x:v>
      </x:c>
      <x:c r="D385" s="22" t="n">
        <x:v>3</x:v>
      </x:c>
      <x:c r="E385" s="22" t="str">
        <x:v>Condition-specific</x:v>
      </x:c>
      <x:c r="F385" s="22" t="str">
        <x:v>direct supervision around stairs, kitchen, traffic or pools.</x:v>
      </x:c>
      <x:c r="G385" s="22" t="str">
        <x:v>Frequent / high-risk periods</x:v>
      </x:c>
      <x:c r="H385" s="22" t="str">
        <x:v>Caregiver + nurse / administrator per risk plan</x:v>
      </x:c>
      <x:c r="I385" s="22" t="str">
        <x:v>Poor hazard awareness</x:v>
      </x:c>
      <x:c r="J385" s="22" t="str">
        <x:v>Near-elopement, recurrent injury risk or need for continuous observation.</x:v>
      </x:c>
    </x:row>
    <x:row r="386" ht="38" customHeight="1">
      <x:c r="A386" s="22" t="str">
        <x:v>AS-13-4-C01</x:v>
      </x:c>
      <x:c r="B386" s="22" t="str">
        <x:v>AS-13</x:v>
      </x:c>
      <x:c r="C386" s="22" t="str">
        <x:v>Safety / Supervision</x:v>
      </x:c>
      <x:c r="D386" s="22" t="n">
        <x:v>4</x:v>
      </x:c>
      <x:c r="E386" s="22" t="str">
        <x:v>Core</x:v>
      </x:c>
      <x:c r="F386" s="22" t="str">
        <x:v>Provide intensive individualized supervision and risk management.</x:v>
      </x:c>
      <x:c r="G386" s="22" t="str">
        <x:v>Very frequent / near-continuous</x:v>
      </x:c>
      <x:c r="H386" s="22" t="str">
        <x:v>Caregiver + nurse / administrator per risk plan</x:v>
      </x:c>
      <x:c r="I386" s="22"/>
      <x:c r="J386" s="22" t="str">
        <x:v>Actual elopement, repeated dangerous behavior or need beyond service capability.</x:v>
      </x:c>
    </x:row>
    <x:row r="387" ht="38" customHeight="1">
      <x:c r="A387" s="22" t="str">
        <x:v>AS-13-4-C02</x:v>
      </x:c>
      <x:c r="B387" s="22" t="str">
        <x:v>AS-13</x:v>
      </x:c>
      <x:c r="C387" s="22" t="str">
        <x:v>Safety / Supervision</x:v>
      </x:c>
      <x:c r="D387" s="22" t="n">
        <x:v>4</x:v>
      </x:c>
      <x:c r="E387" s="22" t="str">
        <x:v>Core</x:v>
      </x:c>
      <x:c r="F387" s="22" t="str">
        <x:v>Maintain team-wide safety plan with known triggers, routes and response steps.</x:v>
      </x:c>
      <x:c r="G387" s="22" t="str">
        <x:v>Very frequent / near-continuous</x:v>
      </x:c>
      <x:c r="H387" s="22" t="str">
        <x:v>Caregiver + nurse / administrator per risk plan</x:v>
      </x:c>
      <x:c r="I387" s="22"/>
      <x:c r="J387" s="22" t="str">
        <x:v>Actual elopement, repeated dangerous behavior or need beyond service capability.</x:v>
      </x:c>
    </x:row>
    <x:row r="388" ht="38" customHeight="1">
      <x:c r="A388" s="22" t="str">
        <x:v>AS-13-4-C03</x:v>
      </x:c>
      <x:c r="B388" s="22" t="str">
        <x:v>AS-13</x:v>
      </x:c>
      <x:c r="C388" s="22" t="str">
        <x:v>Safety / Supervision</x:v>
      </x:c>
      <x:c r="D388" s="22" t="n">
        <x:v>4</x:v>
      </x:c>
      <x:c r="E388" s="22" t="str">
        <x:v>Core</x:v>
      </x:c>
      <x:c r="F388" s="22" t="str">
        <x:v>Use least restrictive measures and preserve meaningful movement/activity.</x:v>
      </x:c>
      <x:c r="G388" s="22" t="str">
        <x:v>Very frequent / near-continuous</x:v>
      </x:c>
      <x:c r="H388" s="22" t="str">
        <x:v>Caregiver + nurse / administrator per risk plan</x:v>
      </x:c>
      <x:c r="I388" s="22"/>
      <x:c r="J388" s="22" t="str">
        <x:v>Actual elopement, repeated dangerous behavior or need beyond service capability.</x:v>
      </x:c>
    </x:row>
    <x:row r="389" ht="38" customHeight="1">
      <x:c r="A389" s="22" t="str">
        <x:v>AS-13-4-C04</x:v>
      </x:c>
      <x:c r="B389" s="22" t="str">
        <x:v>AS-13</x:v>
      </x:c>
      <x:c r="C389" s="22" t="str">
        <x:v>Safety / Supervision</x:v>
      </x:c>
      <x:c r="D389" s="22" t="n">
        <x:v>4</x:v>
      </x:c>
      <x:c r="E389" s="22" t="str">
        <x:v>Core</x:v>
      </x:c>
      <x:c r="F389" s="22" t="str">
        <x:v>Escalate when resident cannot be kept safe within current environment/staffing.</x:v>
      </x:c>
      <x:c r="G389" s="22" t="str">
        <x:v>Very frequent / near-continuous</x:v>
      </x:c>
      <x:c r="H389" s="22" t="str">
        <x:v>Caregiver + nurse / administrator per risk plan</x:v>
      </x:c>
      <x:c r="I389" s="22"/>
      <x:c r="J389" s="22" t="str">
        <x:v>Actual elopement, repeated dangerous behavior or need beyond service capability.</x:v>
      </x:c>
    </x:row>
    <x:row r="390" ht="38" customHeight="1">
      <x:c r="A390" s="22" t="str">
        <x:v>AS-13-4-X01</x:v>
      </x:c>
      <x:c r="B390" s="22" t="str">
        <x:v>AS-13</x:v>
      </x:c>
      <x:c r="C390" s="22" t="str">
        <x:v>Safety / Supervision</x:v>
      </x:c>
      <x:c r="D390" s="22" t="n">
        <x:v>4</x:v>
      </x:c>
      <x:c r="E390" s="22" t="str">
        <x:v>Condition-specific</x:v>
      </x:c>
      <x:c r="F390" s="22" t="str">
        <x:v>secured/monitored environment per policy and rights.</x:v>
      </x:c>
      <x:c r="G390" s="22" t="str">
        <x:v>Very frequent / near-continuous</x:v>
      </x:c>
      <x:c r="H390" s="22" t="str">
        <x:v>Caregiver + nurse / administrator per risk plan</x:v>
      </x:c>
      <x:c r="I390" s="22" t="str">
        <x:v>Severe dementia with elopement risk</x:v>
      </x:c>
      <x:c r="J390" s="22" t="str">
        <x:v>Actual elopement, repeated dangerous behavior or need beyond service capability.</x:v>
      </x:c>
    </x:row>
    <x:row r="391" ht="38" customHeight="1">
      <x:c r="A391" s="22" t="str">
        <x:v>AS-13-4-X02</x:v>
      </x:c>
      <x:c r="B391" s="22" t="str">
        <x:v>AS-13</x:v>
      </x:c>
      <x:c r="C391" s="22" t="str">
        <x:v>Safety / Supervision</x:v>
      </x:c>
      <x:c r="D391" s="22" t="n">
        <x:v>4</x:v>
      </x:c>
      <x:c r="E391" s="22" t="str">
        <x:v>Condition-specific</x:v>
      </x:c>
      <x:c r="F391" s="22" t="str">
        <x:v>structured activities plus close supervision.</x:v>
      </x:c>
      <x:c r="G391" s="22" t="str">
        <x:v>Very frequent / near-continuous</x:v>
      </x:c>
      <x:c r="H391" s="22" t="str">
        <x:v>Caregiver + nurse / administrator per risk plan</x:v>
      </x:c>
      <x:c r="I391" s="22" t="str">
        <x:v>High impulsivity</x:v>
      </x:c>
      <x:c r="J391" s="22" t="str">
        <x:v>Actual elopement, repeated dangerous behavior or need beyond service capability.</x:v>
      </x:c>
    </x:row>
    <x:row r="392" ht="38" customHeight="1">
      <x:c r="A392" s="22" t="str">
        <x:v>AS-14-0-C01</x:v>
      </x:c>
      <x:c r="B392" s="22" t="str">
        <x:v>AS-14</x:v>
      </x:c>
      <x:c r="C392" s="22" t="str">
        <x:v>Reablement / Therapy / Functional Maintenance</x:v>
      </x:c>
      <x:c r="D392" s="22" t="n">
        <x:v>0</x:v>
      </x:c>
      <x:c r="E392" s="22" t="str">
        <x:v>Core</x:v>
      </x:c>
      <x:c r="F392" s="22" t="str">
        <x:v>Encourage normal daily activity and self-directed mobility.</x:v>
      </x:c>
      <x:c r="G392" s="22" t="str">
        <x:v>Routine</x:v>
      </x:c>
      <x:c r="H392" s="22" t="str">
        <x:v>Caregiver carryover + PT/OT/ST as prescribed</x:v>
      </x:c>
      <x:c r="I392" s="22"/>
      <x:c r="J392" s="22" t="str">
        <x:v>New functional decline, pain or new therapy recommendation.</x:v>
      </x:c>
    </x:row>
    <x:row r="393" ht="38" customHeight="1">
      <x:c r="A393" s="22" t="str">
        <x:v>AS-14-0-C02</x:v>
      </x:c>
      <x:c r="B393" s="22" t="str">
        <x:v>AS-14</x:v>
      </x:c>
      <x:c r="C393" s="22" t="str">
        <x:v>Reablement / Therapy / Functional Maintenance</x:v>
      </x:c>
      <x:c r="D393" s="22" t="n">
        <x:v>0</x:v>
      </x:c>
      <x:c r="E393" s="22" t="str">
        <x:v>Core</x:v>
      </x:c>
      <x:c r="F393" s="22" t="str">
        <x:v>Allow resident to perform functional tasks independently.</x:v>
      </x:c>
      <x:c r="G393" s="22" t="str">
        <x:v>Routine</x:v>
      </x:c>
      <x:c r="H393" s="22" t="str">
        <x:v>Caregiver carryover + PT/OT/ST as prescribed</x:v>
      </x:c>
      <x:c r="I393" s="22"/>
      <x:c r="J393" s="22" t="str">
        <x:v>New functional decline, pain or new therapy recommendation.</x:v>
      </x:c>
    </x:row>
    <x:row r="394" ht="38" customHeight="1">
      <x:c r="A394" s="22" t="str">
        <x:v>AS-14-0-C03</x:v>
      </x:c>
      <x:c r="B394" s="22" t="str">
        <x:v>AS-14</x:v>
      </x:c>
      <x:c r="C394" s="22" t="str">
        <x:v>Reablement / Therapy / Functional Maintenance</x:v>
      </x:c>
      <x:c r="D394" s="22" t="n">
        <x:v>0</x:v>
      </x:c>
      <x:c r="E394" s="22" t="str">
        <x:v>Core</x:v>
      </x:c>
      <x:c r="F394" s="22" t="str">
        <x:v>Observe for decline in endurance, strength or function.</x:v>
      </x:c>
      <x:c r="G394" s="22" t="str">
        <x:v>Routine</x:v>
      </x:c>
      <x:c r="H394" s="22" t="str">
        <x:v>Caregiver carryover + PT/OT/ST as prescribed</x:v>
      </x:c>
      <x:c r="I394" s="22"/>
      <x:c r="J394" s="22" t="str">
        <x:v>New functional decline, pain or new therapy recommendation.</x:v>
      </x:c>
    </x:row>
    <x:row r="395" ht="38" customHeight="1">
      <x:c r="A395" s="22" t="str">
        <x:v>AS-14-0-C04</x:v>
      </x:c>
      <x:c r="B395" s="22" t="str">
        <x:v>AS-14</x:v>
      </x:c>
      <x:c r="C395" s="22" t="str">
        <x:v>Reablement / Therapy / Functional Maintenance</x:v>
      </x:c>
      <x:c r="D395" s="22" t="n">
        <x:v>0</x:v>
      </x:c>
      <x:c r="E395" s="22" t="str">
        <x:v>Core</x:v>
      </x:c>
      <x:c r="F395" s="22" t="str">
        <x:v>Refer for reassessment if function changes.</x:v>
      </x:c>
      <x:c r="G395" s="22" t="str">
        <x:v>Routine</x:v>
      </x:c>
      <x:c r="H395" s="22" t="str">
        <x:v>Caregiver carryover + PT/OT/ST as prescribed</x:v>
      </x:c>
      <x:c r="I395" s="22"/>
      <x:c r="J395" s="22" t="str">
        <x:v>New functional decline, pain or new therapy recommendation.</x:v>
      </x:c>
    </x:row>
    <x:row r="396" ht="38" customHeight="1">
      <x:c r="A396" s="22" t="str">
        <x:v>AS-14-0-X01</x:v>
      </x:c>
      <x:c r="B396" s="22" t="str">
        <x:v>AS-14</x:v>
      </x:c>
      <x:c r="C396" s="22" t="str">
        <x:v>Reablement / Therapy / Functional Maintenance</x:v>
      </x:c>
      <x:c r="D396" s="22" t="n">
        <x:v>0</x:v>
      </x:c>
      <x:c r="E396" s="22" t="str">
        <x:v>Condition-specific</x:v>
      </x:c>
      <x:c r="F396" s="22" t="str">
        <x:v>continue preferred walking/activity.</x:v>
      </x:c>
      <x:c r="G396" s="22" t="str">
        <x:v>Routine</x:v>
      </x:c>
      <x:c r="H396" s="22" t="str">
        <x:v>Caregiver carryover + PT/OT/ST as prescribed</x:v>
      </x:c>
      <x:c r="I396" s="22" t="str">
        <x:v>Stable arthritis</x:v>
      </x:c>
      <x:c r="J396" s="22" t="str">
        <x:v>New functional decline, pain or new therapy recommendation.</x:v>
      </x:c>
    </x:row>
    <x:row r="397" ht="38" customHeight="1">
      <x:c r="A397" s="22" t="str">
        <x:v>AS-14-0-X02</x:v>
      </x:c>
      <x:c r="B397" s="22" t="str">
        <x:v>AS-14</x:v>
      </x:c>
      <x:c r="C397" s="22" t="str">
        <x:v>Reablement / Therapy / Functional Maintenance</x:v>
      </x:c>
      <x:c r="D397" s="22" t="n">
        <x:v>0</x:v>
      </x:c>
      <x:c r="E397" s="22" t="str">
        <x:v>Condition-specific</x:v>
      </x:c>
      <x:c r="F397" s="22" t="str">
        <x:v>no formal exercise carryover required.</x:v>
      </x:c>
      <x:c r="G397" s="22" t="str">
        <x:v>Routine</x:v>
      </x:c>
      <x:c r="H397" s="22" t="str">
        <x:v>Caregiver carryover + PT/OT/ST as prescribed</x:v>
      </x:c>
      <x:c r="I397" s="22" t="str">
        <x:v>Independent resident</x:v>
      </x:c>
      <x:c r="J397" s="22" t="str">
        <x:v>New functional decline, pain or new therapy recommendation.</x:v>
      </x:c>
    </x:row>
    <x:row r="398" ht="38" customHeight="1">
      <x:c r="A398" s="22" t="str">
        <x:v>AS-14-1-C01</x:v>
      </x:c>
      <x:c r="B398" s="22" t="str">
        <x:v>AS-14</x:v>
      </x:c>
      <x:c r="C398" s="22" t="str">
        <x:v>Reablement / Therapy / Functional Maintenance</x:v>
      </x:c>
      <x:c r="D398" s="22" t="n">
        <x:v>1</x:v>
      </x:c>
      <x:c r="E398" s="22" t="str">
        <x:v>Core</x:v>
      </x:c>
      <x:c r="F398" s="22" t="str">
        <x:v>Encourage prescribed/simple home exercise or walking program.</x:v>
      </x:c>
      <x:c r="G398" s="22" t="str">
        <x:v>Daily / several times weekly per plan</x:v>
      </x:c>
      <x:c r="H398" s="22" t="str">
        <x:v>Caregiver carryover + PT/OT/ST as prescribed</x:v>
      </x:c>
      <x:c r="I398" s="22"/>
      <x:c r="J398" s="22" t="str">
        <x:v>Pain, dizziness, reduced tolerance or need for formal therapy coordination.</x:v>
      </x:c>
    </x:row>
    <x:row r="399" ht="38" customHeight="1">
      <x:c r="A399" s="22" t="str">
        <x:v>AS-14-1-C02</x:v>
      </x:c>
      <x:c r="B399" s="22" t="str">
        <x:v>AS-14</x:v>
      </x:c>
      <x:c r="C399" s="22" t="str">
        <x:v>Reablement / Therapy / Functional Maintenance</x:v>
      </x:c>
      <x:c r="D399" s="22" t="n">
        <x:v>1</x:v>
      </x:c>
      <x:c r="E399" s="22" t="str">
        <x:v>Core</x:v>
      </x:c>
      <x:c r="F399" s="22" t="str">
        <x:v>Prompt participation in functional tasks rather than doing them for the resident.</x:v>
      </x:c>
      <x:c r="G399" s="22" t="str">
        <x:v>Daily / several times weekly per plan</x:v>
      </x:c>
      <x:c r="H399" s="22" t="str">
        <x:v>Caregiver carryover + PT/OT/ST as prescribed</x:v>
      </x:c>
      <x:c r="I399" s="22"/>
      <x:c r="J399" s="22" t="str">
        <x:v>Pain, dizziness, reduced tolerance or need for formal therapy coordination.</x:v>
      </x:c>
    </x:row>
    <x:row r="400" ht="38" customHeight="1">
      <x:c r="A400" s="22" t="str">
        <x:v>AS-14-1-C03</x:v>
      </x:c>
      <x:c r="B400" s="22" t="str">
        <x:v>AS-14</x:v>
      </x:c>
      <x:c r="C400" s="22" t="str">
        <x:v>Reablement / Therapy / Functional Maintenance</x:v>
      </x:c>
      <x:c r="D400" s="22" t="n">
        <x:v>1</x:v>
      </x:c>
      <x:c r="E400" s="22" t="str">
        <x:v>Core</x:v>
      </x:c>
      <x:c r="F400" s="22" t="str">
        <x:v>Record tolerance and reasons for missed activity when relevant.</x:v>
      </x:c>
      <x:c r="G400" s="22" t="str">
        <x:v>Daily / several times weekly per plan</x:v>
      </x:c>
      <x:c r="H400" s="22" t="str">
        <x:v>Caregiver carryover + PT/OT/ST as prescribed</x:v>
      </x:c>
      <x:c r="I400" s="22"/>
      <x:c r="J400" s="22" t="str">
        <x:v>Pain, dizziness, reduced tolerance or need for formal therapy coordination.</x:v>
      </x:c>
    </x:row>
    <x:row r="401" ht="38" customHeight="1">
      <x:c r="A401" s="22" t="str">
        <x:v>AS-14-1-C04</x:v>
      </x:c>
      <x:c r="B401" s="22" t="str">
        <x:v>AS-14</x:v>
      </x:c>
      <x:c r="C401" s="22" t="str">
        <x:v>Reablement / Therapy / Functional Maintenance</x:v>
      </x:c>
      <x:c r="D401" s="22" t="n">
        <x:v>1</x:v>
      </x:c>
      <x:c r="E401" s="22" t="str">
        <x:v>Core</x:v>
      </x:c>
      <x:c r="F401" s="22" t="str">
        <x:v>Use rest breaks and preferred activity times.</x:v>
      </x:c>
      <x:c r="G401" s="22" t="str">
        <x:v>Daily / several times weekly per plan</x:v>
      </x:c>
      <x:c r="H401" s="22" t="str">
        <x:v>Caregiver carryover + PT/OT/ST as prescribed</x:v>
      </x:c>
      <x:c r="I401" s="22"/>
      <x:c r="J401" s="22" t="str">
        <x:v>Pain, dizziness, reduced tolerance or need for formal therapy coordination.</x:v>
      </x:c>
    </x:row>
    <x:row r="402" ht="38" customHeight="1">
      <x:c r="A402" s="22" t="str">
        <x:v>AS-14-1-X01</x:v>
      </x:c>
      <x:c r="B402" s="22" t="str">
        <x:v>AS-14</x:v>
      </x:c>
      <x:c r="C402" s="22" t="str">
        <x:v>Reablement / Therapy / Functional Maintenance</x:v>
      </x:c>
      <x:c r="D402" s="22" t="n">
        <x:v>1</x:v>
      </x:c>
      <x:c r="E402" s="22" t="str">
        <x:v>Condition-specific</x:v>
      </x:c>
      <x:c r="F402" s="22" t="str">
        <x:v>short progressive walks as tolerated.</x:v>
      </x:c>
      <x:c r="G402" s="22" t="str">
        <x:v>Daily / several times weekly per plan</x:v>
      </x:c>
      <x:c r="H402" s="22" t="str">
        <x:v>Caregiver carryover + PT/OT/ST as prescribed</x:v>
      </x:c>
      <x:c r="I402" s="22" t="str">
        <x:v>Post-hospital deconditioning</x:v>
      </x:c>
      <x:c r="J402" s="22" t="str">
        <x:v>Pain, dizziness, reduced tolerance or need for formal therapy coordination.</x:v>
      </x:c>
    </x:row>
    <x:row r="403" ht="38" customHeight="1">
      <x:c r="A403" s="22" t="str">
        <x:v>AS-14-1-X02</x:v>
      </x:c>
      <x:c r="B403" s="22" t="str">
        <x:v>AS-14</x:v>
      </x:c>
      <x:c r="C403" s="22" t="str">
        <x:v>Reablement / Therapy / Functional Maintenance</x:v>
      </x:c>
      <x:c r="D403" s="22" t="n">
        <x:v>1</x:v>
      </x:c>
      <x:c r="E403" s="22" t="str">
        <x:v>Condition-specific</x:v>
      </x:c>
      <x:c r="F403" s="22" t="str">
        <x:v>sit-to-stand/strength activity only if approved and safe.</x:v>
      </x:c>
      <x:c r="G403" s="22" t="str">
        <x:v>Daily / several times weekly per plan</x:v>
      </x:c>
      <x:c r="H403" s="22" t="str">
        <x:v>Caregiver carryover + PT/OT/ST as prescribed</x:v>
      </x:c>
      <x:c r="I403" s="22" t="str">
        <x:v>Frailty</x:v>
      </x:c>
      <x:c r="J403" s="22" t="str">
        <x:v>Pain, dizziness, reduced tolerance or need for formal therapy coordination.</x:v>
      </x:c>
    </x:row>
    <x:row r="404" ht="38" customHeight="1">
      <x:c r="A404" s="22" t="str">
        <x:v>AS-14-2-C01</x:v>
      </x:c>
      <x:c r="B404" s="22" t="str">
        <x:v>AS-14</x:v>
      </x:c>
      <x:c r="C404" s="22" t="str">
        <x:v>Reablement / Therapy / Functional Maintenance</x:v>
      </x:c>
      <x:c r="D404" s="22" t="n">
        <x:v>2</x:v>
      </x:c>
      <x:c r="E404" s="22" t="str">
        <x:v>Core</x:v>
      </x:c>
      <x:c r="F404" s="22" t="str">
        <x:v>Carry over therapist-prescribed exercises/techniques during daily care.</x:v>
      </x:c>
      <x:c r="G404" s="22" t="str">
        <x:v>Regular per therapy plan</x:v>
      </x:c>
      <x:c r="H404" s="22" t="str">
        <x:v>Caregiver carryover + PT/OT/ST as prescribed</x:v>
      </x:c>
      <x:c r="I404" s="22"/>
      <x:c r="J404" s="22" t="str">
        <x:v>Functional decline, inability to perform program safely or therapy plan changes.</x:v>
      </x:c>
    </x:row>
    <x:row r="405" ht="38" customHeight="1">
      <x:c r="A405" s="22" t="str">
        <x:v>AS-14-2-C02</x:v>
      </x:c>
      <x:c r="B405" s="22" t="str">
        <x:v>AS-14</x:v>
      </x:c>
      <x:c r="C405" s="22" t="str">
        <x:v>Reablement / Therapy / Functional Maintenance</x:v>
      </x:c>
      <x:c r="D405" s="22" t="n">
        <x:v>2</x:v>
      </x:c>
      <x:c r="E405" s="22" t="str">
        <x:v>Core</x:v>
      </x:c>
      <x:c r="F405" s="22" t="str">
        <x:v>Use therapy-recommended transfer, dressing or mobility strategies.</x:v>
      </x:c>
      <x:c r="G405" s="22" t="str">
        <x:v>Regular per therapy plan</x:v>
      </x:c>
      <x:c r="H405" s="22" t="str">
        <x:v>Caregiver carryover + PT/OT/ST as prescribed</x:v>
      </x:c>
      <x:c r="I405" s="22"/>
      <x:c r="J405" s="22" t="str">
        <x:v>Functional decline, inability to perform program safely or therapy plan changes.</x:v>
      </x:c>
    </x:row>
    <x:row r="406" ht="38" customHeight="1">
      <x:c r="A406" s="22" t="str">
        <x:v>AS-14-2-C03</x:v>
      </x:c>
      <x:c r="B406" s="22" t="str">
        <x:v>AS-14</x:v>
      </x:c>
      <x:c r="C406" s="22" t="str">
        <x:v>Reablement / Therapy / Functional Maintenance</x:v>
      </x:c>
      <x:c r="D406" s="22" t="n">
        <x:v>2</x:v>
      </x:c>
      <x:c r="E406" s="22" t="str">
        <x:v>Core</x:v>
      </x:c>
      <x:c r="F406" s="22" t="str">
        <x:v>Document completion/tolerance and barriers.</x:v>
      </x:c>
      <x:c r="G406" s="22" t="str">
        <x:v>Regular per therapy plan</x:v>
      </x:c>
      <x:c r="H406" s="22" t="str">
        <x:v>Caregiver carryover + PT/OT/ST as prescribed</x:v>
      </x:c>
      <x:c r="I406" s="22"/>
      <x:c r="J406" s="22" t="str">
        <x:v>Functional decline, inability to perform program safely or therapy plan changes.</x:v>
      </x:c>
    </x:row>
    <x:row r="407" ht="38" customHeight="1">
      <x:c r="A407" s="22" t="str">
        <x:v>AS-14-2-C04</x:v>
      </x:c>
      <x:c r="B407" s="22" t="str">
        <x:v>AS-14</x:v>
      </x:c>
      <x:c r="C407" s="22" t="str">
        <x:v>Reablement / Therapy / Functional Maintenance</x:v>
      </x:c>
      <x:c r="D407" s="22" t="n">
        <x:v>2</x:v>
      </x:c>
      <x:c r="E407" s="22" t="str">
        <x:v>Core</x:v>
      </x:c>
      <x:c r="F407" s="22" t="str">
        <x:v>Coordinate schedule/progress updates with PT/OT/ST.</x:v>
      </x:c>
      <x:c r="G407" s="22" t="str">
        <x:v>Regular per therapy plan</x:v>
      </x:c>
      <x:c r="H407" s="22" t="str">
        <x:v>Caregiver carryover + PT/OT/ST as prescribed</x:v>
      </x:c>
      <x:c r="I407" s="22"/>
      <x:c r="J407" s="22" t="str">
        <x:v>Functional decline, inability to perform program safely or therapy plan changes.</x:v>
      </x:c>
    </x:row>
    <x:row r="408" ht="38" customHeight="1">
      <x:c r="A408" s="22" t="str">
        <x:v>AS-14-2-X01</x:v>
      </x:c>
      <x:c r="B408" s="22" t="str">
        <x:v>AS-14</x:v>
      </x:c>
      <x:c r="C408" s="22" t="str">
        <x:v>Reablement / Therapy / Functional Maintenance</x:v>
      </x:c>
      <x:c r="D408" s="22" t="n">
        <x:v>2</x:v>
      </x:c>
      <x:c r="E408" s="22" t="str">
        <x:v>Condition-specific</x:v>
      </x:c>
      <x:c r="F408" s="22" t="str">
        <x:v>practice therapist-approved task sequencing.</x:v>
      </x:c>
      <x:c r="G408" s="22" t="str">
        <x:v>Regular per therapy plan</x:v>
      </x:c>
      <x:c r="H408" s="22" t="str">
        <x:v>Caregiver carryover + PT/OT/ST as prescribed</x:v>
      </x:c>
      <x:c r="I408" s="22" t="str">
        <x:v>Post-stroke</x:v>
      </x:c>
      <x:c r="J408" s="22" t="str">
        <x:v>Functional decline, inability to perform program safely or therapy plan changes.</x:v>
      </x:c>
    </x:row>
    <x:row r="409" ht="38" customHeight="1">
      <x:c r="A409" s="22" t="str">
        <x:v>AS-14-2-X02</x:v>
      </x:c>
      <x:c r="B409" s="22" t="str">
        <x:v>AS-14</x:v>
      </x:c>
      <x:c r="C409" s="22" t="str">
        <x:v>Reablement / Therapy / Functional Maintenance</x:v>
      </x:c>
      <x:c r="D409" s="22" t="n">
        <x:v>2</x:v>
      </x:c>
      <x:c r="E409" s="22" t="str">
        <x:v>Condition-specific</x:v>
      </x:c>
      <x:c r="F409" s="22" t="str">
        <x:v>staff carryover only of SLP-prescribed techniques.</x:v>
      </x:c>
      <x:c r="G409" s="22" t="str">
        <x:v>Regular per therapy plan</x:v>
      </x:c>
      <x:c r="H409" s="22" t="str">
        <x:v>Caregiver carryover + PT/OT/ST as prescribed</x:v>
      </x:c>
      <x:c r="I409" s="22" t="str">
        <x:v>Dysphagia therapy</x:v>
      </x:c>
      <x:c r="J409" s="22" t="str">
        <x:v>Functional decline, inability to perform program safely or therapy plan changes.</x:v>
      </x:c>
    </x:row>
    <x:row r="410" ht="38" customHeight="1">
      <x:c r="A410" s="22" t="str">
        <x:v>AS-14-3-C01</x:v>
      </x:c>
      <x:c r="B410" s="22" t="str">
        <x:v>AS-14</x:v>
      </x:c>
      <x:c r="C410" s="22" t="str">
        <x:v>Reablement / Therapy / Functional Maintenance</x:v>
      </x:c>
      <x:c r="D410" s="22" t="n">
        <x:v>3</x:v>
      </x:c>
      <x:c r="E410" s="22" t="str">
        <x:v>Core</x:v>
      </x:c>
      <x:c r="F410" s="22" t="str">
        <x:v>Provide frequent structured therapy carryover integrated into multiple daily routines.</x:v>
      </x:c>
      <x:c r="G410" s="22" t="str">
        <x:v>Frequent / multiple daily care episodes</x:v>
      </x:c>
      <x:c r="H410" s="22" t="str">
        <x:v>Caregiver carryover + PT/OT/ST as prescribed</x:v>
      </x:c>
      <x:c r="I410" s="22"/>
      <x:c r="J410" s="22" t="str">
        <x:v>Rapid decline, pain/injury, inability to tolerate program or need for higher rehab level.</x:v>
      </x:c>
    </x:row>
    <x:row r="411" ht="38" customHeight="1">
      <x:c r="A411" s="22" t="str">
        <x:v>AS-14-3-C02</x:v>
      </x:c>
      <x:c r="B411" s="22" t="str">
        <x:v>AS-14</x:v>
      </x:c>
      <x:c r="C411" s="22" t="str">
        <x:v>Reablement / Therapy / Functional Maintenance</x:v>
      </x:c>
      <x:c r="D411" s="22" t="n">
        <x:v>3</x:v>
      </x:c>
      <x:c r="E411" s="22" t="str">
        <x:v>Core</x:v>
      </x:c>
      <x:c r="F411" s="22" t="str">
        <x:v>Coordinate goals and technique across caregiving, nursing and therapy.</x:v>
      </x:c>
      <x:c r="G411" s="22" t="str">
        <x:v>Frequent / multiple daily care episodes</x:v>
      </x:c>
      <x:c r="H411" s="22" t="str">
        <x:v>Caregiver carryover + PT/OT/ST as prescribed</x:v>
      </x:c>
      <x:c r="I411" s="22"/>
      <x:c r="J411" s="22" t="str">
        <x:v>Rapid decline, pain/injury, inability to tolerate program or need for higher rehab level.</x:v>
      </x:c>
    </x:row>
    <x:row r="412" ht="38" customHeight="1">
      <x:c r="A412" s="22" t="str">
        <x:v>AS-14-3-C03</x:v>
      </x:c>
      <x:c r="B412" s="22" t="str">
        <x:v>AS-14</x:v>
      </x:c>
      <x:c r="C412" s="22" t="str">
        <x:v>Reablement / Therapy / Functional Maintenance</x:v>
      </x:c>
      <x:c r="D412" s="22" t="n">
        <x:v>3</x:v>
      </x:c>
      <x:c r="E412" s="22" t="str">
        <x:v>Core</x:v>
      </x:c>
      <x:c r="F412" s="22" t="str">
        <x:v>Track measurable functional response/tolerance.</x:v>
      </x:c>
      <x:c r="G412" s="22" t="str">
        <x:v>Frequent / multiple daily care episodes</x:v>
      </x:c>
      <x:c r="H412" s="22" t="str">
        <x:v>Caregiver carryover + PT/OT/ST as prescribed</x:v>
      </x:c>
      <x:c r="I412" s="22"/>
      <x:c r="J412" s="22" t="str">
        <x:v>Rapid decline, pain/injury, inability to tolerate program or need for higher rehab level.</x:v>
      </x:c>
    </x:row>
    <x:row r="413" ht="38" customHeight="1">
      <x:c r="A413" s="22" t="str">
        <x:v>AS-14-3-C04</x:v>
      </x:c>
      <x:c r="B413" s="22" t="str">
        <x:v>AS-14</x:v>
      </x:c>
      <x:c r="C413" s="22" t="str">
        <x:v>Reablement / Therapy / Functional Maintenance</x:v>
      </x:c>
      <x:c r="D413" s="22" t="n">
        <x:v>3</x:v>
      </x:c>
      <x:c r="E413" s="22" t="str">
        <x:v>Core</x:v>
      </x:c>
      <x:c r="F413" s="22" t="str">
        <x:v>Adjust daily workload/rest based on therapy guidance.</x:v>
      </x:c>
      <x:c r="G413" s="22" t="str">
        <x:v>Frequent / multiple daily care episodes</x:v>
      </x:c>
      <x:c r="H413" s="22" t="str">
        <x:v>Caregiver carryover + PT/OT/ST as prescribed</x:v>
      </x:c>
      <x:c r="I413" s="22"/>
      <x:c r="J413" s="22" t="str">
        <x:v>Rapid decline, pain/injury, inability to tolerate program or need for higher rehab level.</x:v>
      </x:c>
    </x:row>
    <x:row r="414" ht="38" customHeight="1">
      <x:c r="A414" s="22" t="str">
        <x:v>AS-14-3-X01</x:v>
      </x:c>
      <x:c r="B414" s="22" t="str">
        <x:v>AS-14</x:v>
      </x:c>
      <x:c r="C414" s="22" t="str">
        <x:v>Reablement / Therapy / Functional Maintenance</x:v>
      </x:c>
      <x:c r="D414" s="22" t="n">
        <x:v>3</x:v>
      </x:c>
      <x:c r="E414" s="22" t="str">
        <x:v>Condition-specific</x:v>
      </x:c>
      <x:c r="F414" s="22" t="str">
        <x:v>repeated short mobility/ADL practice.</x:v>
      </x:c>
      <x:c r="G414" s="22" t="str">
        <x:v>Frequent / multiple daily care episodes</x:v>
      </x:c>
      <x:c r="H414" s="22" t="str">
        <x:v>Caregiver carryover + PT/OT/ST as prescribed</x:v>
      </x:c>
      <x:c r="I414" s="22" t="str">
        <x:v>Recent major deconditioning</x:v>
      </x:c>
      <x:c r="J414" s="22" t="str">
        <x:v>Rapid decline, pain/injury, inability to tolerate program or need for higher rehab level.</x:v>
      </x:c>
    </x:row>
    <x:row r="415" ht="38" customHeight="1">
      <x:c r="A415" s="22" t="str">
        <x:v>AS-14-3-X02</x:v>
      </x:c>
      <x:c r="B415" s="22" t="str">
        <x:v>AS-14</x:v>
      </x:c>
      <x:c r="C415" s="22" t="str">
        <x:v>Reablement / Therapy / Functional Maintenance</x:v>
      </x:c>
      <x:c r="D415" s="22" t="n">
        <x:v>3</x:v>
      </x:c>
      <x:c r="E415" s="22" t="str">
        <x:v>Condition-specific</x:v>
      </x:c>
      <x:c r="F415" s="22" t="str">
        <x:v>reinforce therapist-prescribed cueing strategies.</x:v>
      </x:c>
      <x:c r="G415" s="22" t="str">
        <x:v>Frequent / multiple daily care episodes</x:v>
      </x:c>
      <x:c r="H415" s="22" t="str">
        <x:v>Caregiver carryover + PT/OT/ST as prescribed</x:v>
      </x:c>
      <x:c r="I415" s="22" t="str">
        <x:v>Parkinsonism</x:v>
      </x:c>
      <x:c r="J415" s="22" t="str">
        <x:v>Rapid decline, pain/injury, inability to tolerate program or need for higher rehab level.</x:v>
      </x:c>
    </x:row>
    <x:row r="416" ht="38" customHeight="1">
      <x:c r="A416" s="22" t="str">
        <x:v>AS-14-4-C01</x:v>
      </x:c>
      <x:c r="B416" s="22" t="str">
        <x:v>AS-14</x:v>
      </x:c>
      <x:c r="C416" s="22" t="str">
        <x:v>Reablement / Therapy / Functional Maintenance</x:v>
      </x:c>
      <x:c r="D416" s="22" t="n">
        <x:v>4</x:v>
      </x:c>
      <x:c r="E416" s="22" t="str">
        <x:v>Core</x:v>
      </x:c>
      <x:c r="F416" s="22" t="str">
        <x:v>Integrate intensive multidisciplinary reablement support into daily care within capability.</x:v>
      </x:c>
      <x:c r="G416" s="22" t="str">
        <x:v>High-frequency / multidisciplinary</x:v>
      </x:c>
      <x:c r="H416" s="22" t="str">
        <x:v>Caregiver carryover + PT/OT/ST as prescribed</x:v>
      </x:c>
      <x:c r="I416" s="22"/>
      <x:c r="J416" s="22" t="str">
        <x:v>Clinical instability, unsafe therapy needs or rehab intensity beyond assisted-living capability.</x:v>
      </x:c>
    </x:row>
    <x:row r="417" ht="38" customHeight="1">
      <x:c r="A417" s="22" t="str">
        <x:v>AS-14-4-C02</x:v>
      </x:c>
      <x:c r="B417" s="22" t="str">
        <x:v>AS-14</x:v>
      </x:c>
      <x:c r="C417" s="22" t="str">
        <x:v>Reablement / Therapy / Functional Maintenance</x:v>
      </x:c>
      <x:c r="D417" s="22" t="n">
        <x:v>4</x:v>
      </x:c>
      <x:c r="E417" s="22" t="str">
        <x:v>Core</x:v>
      </x:c>
      <x:c r="F417" s="22" t="str">
        <x:v>Use consistent PT/OT/ST-approved techniques across shifts.</x:v>
      </x:c>
      <x:c r="G417" s="22" t="str">
        <x:v>High-frequency / multidisciplinary</x:v>
      </x:c>
      <x:c r="H417" s="22" t="str">
        <x:v>Caregiver carryover + PT/OT/ST as prescribed</x:v>
      </x:c>
      <x:c r="I417" s="22"/>
      <x:c r="J417" s="22" t="str">
        <x:v>Clinical instability, unsafe therapy needs or rehab intensity beyond assisted-living capability.</x:v>
      </x:c>
    </x:row>
    <x:row r="418" ht="38" customHeight="1">
      <x:c r="A418" s="22" t="str">
        <x:v>AS-14-4-C03</x:v>
      </x:c>
      <x:c r="B418" s="22" t="str">
        <x:v>AS-14</x:v>
      </x:c>
      <x:c r="C418" s="22" t="str">
        <x:v>Reablement / Therapy / Functional Maintenance</x:v>
      </x:c>
      <x:c r="D418" s="22" t="n">
        <x:v>4</x:v>
      </x:c>
      <x:c r="E418" s="22" t="str">
        <x:v>Core</x:v>
      </x:c>
      <x:c r="F418" s="22" t="str">
        <x:v>Balance restorative goals with fatigue, safety and comfort.</x:v>
      </x:c>
      <x:c r="G418" s="22" t="str">
        <x:v>High-frequency / multidisciplinary</x:v>
      </x:c>
      <x:c r="H418" s="22" t="str">
        <x:v>Caregiver carryover + PT/OT/ST as prescribed</x:v>
      </x:c>
      <x:c r="I418" s="22"/>
      <x:c r="J418" s="22" t="str">
        <x:v>Clinical instability, unsafe therapy needs or rehab intensity beyond assisted-living capability.</x:v>
      </x:c>
    </x:row>
    <x:row r="419" ht="38" customHeight="1">
      <x:c r="A419" s="22" t="str">
        <x:v>AS-14-4-C04</x:v>
      </x:c>
      <x:c r="B419" s="22" t="str">
        <x:v>AS-14</x:v>
      </x:c>
      <x:c r="C419" s="22" t="str">
        <x:v>Reablement / Therapy / Functional Maintenance</x:v>
      </x:c>
      <x:c r="D419" s="22" t="n">
        <x:v>4</x:v>
      </x:c>
      <x:c r="E419" s="22" t="str">
        <x:v>Core</x:v>
      </x:c>
      <x:c r="F419" s="22" t="str">
        <x:v>Hold/escalate exercises when clinical status changes.</x:v>
      </x:c>
      <x:c r="G419" s="22" t="str">
        <x:v>High-frequency / multidisciplinary</x:v>
      </x:c>
      <x:c r="H419" s="22" t="str">
        <x:v>Caregiver carryover + PT/OT/ST as prescribed</x:v>
      </x:c>
      <x:c r="I419" s="22"/>
      <x:c r="J419" s="22" t="str">
        <x:v>Clinical instability, unsafe therapy needs or rehab intensity beyond assisted-living capability.</x:v>
      </x:c>
    </x:row>
    <x:row r="420" ht="38" customHeight="1">
      <x:c r="A420" s="22" t="str">
        <x:v>AS-14-4-X01</x:v>
      </x:c>
      <x:c r="B420" s="22" t="str">
        <x:v>AS-14</x:v>
      </x:c>
      <x:c r="C420" s="22" t="str">
        <x:v>Reablement / Therapy / Functional Maintenance</x:v>
      </x:c>
      <x:c r="D420" s="22" t="n">
        <x:v>4</x:v>
      </x:c>
      <x:c r="E420" s="22" t="str">
        <x:v>Condition-specific</x:v>
      </x:c>
      <x:c r="F420" s="22" t="str">
        <x:v>goal may be maintenance, positioning and caregiver-assisted function.</x:v>
      </x:c>
      <x:c r="G420" s="22" t="str">
        <x:v>High-frequency / multidisciplinary</x:v>
      </x:c>
      <x:c r="H420" s="22" t="str">
        <x:v>Caregiver carryover + PT/OT/ST as prescribed</x:v>
      </x:c>
      <x:c r="I420" s="22" t="str">
        <x:v>Severe neurologic disability</x:v>
      </x:c>
      <x:c r="J420" s="22" t="str">
        <x:v>Clinical instability, unsafe therapy needs or rehab intensity beyond assisted-living capability.</x:v>
      </x:c>
    </x:row>
    <x:row r="421" ht="38" customHeight="1">
      <x:c r="A421" s="22" t="str">
        <x:v>AS-14-4-X02</x:v>
      </x:c>
      <x:c r="B421" s="22" t="str">
        <x:v>AS-14</x:v>
      </x:c>
      <x:c r="C421" s="22" t="str">
        <x:v>Reablement / Therapy / Functional Maintenance</x:v>
      </x:c>
      <x:c r="D421" s="22" t="n">
        <x:v>4</x:v>
      </x:c>
      <x:c r="E421" s="22" t="str">
        <x:v>Condition-specific</x:v>
      </x:c>
      <x:c r="F421" s="22" t="str">
        <x:v>prioritize comfort and meaningful function over burdensome exercise.</x:v>
      </x:c>
      <x:c r="G421" s="22" t="str">
        <x:v>High-frequency / multidisciplinary</x:v>
      </x:c>
      <x:c r="H421" s="22" t="str">
        <x:v>Caregiver carryover + PT/OT/ST as prescribed</x:v>
      </x:c>
      <x:c r="I421" s="22" t="str">
        <x:v>Palliative context</x:v>
      </x:c>
      <x:c r="J421" s="22" t="str">
        <x:v>Clinical instability, unsafe therapy needs or rehab intensity beyond assisted-living capability.</x:v>
      </x:c>
    </x:row>
  </x:sheetData>
  <x:conditionalFormatting sqref="A2:J421">
    <x:cfRule type="expression" dxfId="5" priority="1">
      <x:formula>$D2=0</x:formula>
    </x:cfRule>
    <x:cfRule type="expression" dxfId="6" priority="2">
      <x:formula>$D2=1</x:formula>
    </x:cfRule>
    <x:cfRule type="expression" dxfId="7" priority="3">
      <x:formula>$D2=2</x:formula>
    </x:cfRule>
    <x:cfRule type="expression" dxfId="8" priority="4">
      <x:formula>$D2=3</x:formula>
    </x:cfRule>
    <x:cfRule type="expression" dxfId="9" priority="5">
      <x:formula>$D2=4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8a7b271c4c41445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30" hidden="0" customWidth="1"/>
    <x:col min="3" max="3" width="18" hidden="0" customWidth="1"/>
    <x:col min="4" max="4" width="70" hidden="0" customWidth="1"/>
    <x:col min="5" max="5" width="55" hidden="0" customWidth="1"/>
  </x:cols>
  <x:sheetData>
    <x:row r="1" ht="34" customHeight="1">
      <x:c r="A1" s="27" t="str">
        <x:v>Condition / Risk</x:v>
      </x:c>
      <x:c r="B1" s="27" t="str">
        <x:v>Primary Domain</x:v>
      </x:c>
      <x:c r="C1" s="27" t="str">
        <x:v>Typical Score Range</x:v>
      </x:c>
      <x:c r="D1" s="27" t="str">
        <x:v>Condition-Specific Care Tasks</x:v>
      </x:c>
      <x:c r="E1" s="27" t="str">
        <x:v>Clinical / Implementation Note</x:v>
      </x:c>
    </x:row>
    <x:row r="2" ht="54" customHeight="1">
      <x:c r="A2" s="22" t="str">
        <x:v>Dementia / cognitive impairment</x:v>
      </x:c>
      <x:c r="B2" s="22" t="str">
        <x:v>AS-04 Cognition / Self-Direction</x:v>
      </x:c>
      <x:c r="C2" s="22" t="str">
        <x:v>1–4</x:v>
      </x:c>
      <x:c r="D2" s="22" t="str">
        <x:v>Use simple one-step cues, allow processing time, keep routines/items consistent, and document effective cues.</x:v>
      </x:c>
      <x:c r="E2" s="22" t="str">
        <x:v>Increase structure and supervision as score rises; acute change is not assumed to be dementia.</x:v>
      </x:c>
    </x:row>
    <x:row r="3" ht="54" customHeight="1">
      <x:c r="A3" s="22" t="str">
        <x:v>Dementia / cognitive impairment</x:v>
      </x:c>
      <x:c r="B3" s="22" t="str">
        <x:v>AS-07 Medication Support</x:v>
      </x:c>
      <x:c r="C3" s="22" t="str">
        <x:v>1–4</x:v>
      </x:c>
      <x:c r="D3" s="22" t="str">
        <x:v>Provide reminders through direct supervision/assistance as needed; do not leave medications unattended when self-management is unsafe.</x:v>
      </x:c>
      <x:c r="E3" s="22" t="str">
        <x:v>Follow MAR/prescriber orders and authorized medication scope.</x:v>
      </x:c>
    </x:row>
    <x:row r="4" ht="54" customHeight="1">
      <x:c r="A4" s="22" t="str">
        <x:v>Dementia / cognitive impairment</x:v>
      </x:c>
      <x:c r="B4" s="22" t="str">
        <x:v>AS-13 Safety / Supervision</x:v>
      </x:c>
      <x:c r="C4" s="22" t="str">
        <x:v>2–4</x:v>
      </x:c>
      <x:c r="D4" s="22" t="str">
        <x:v>Use wayfinding cues, supervised walking, individualized exit-risk plan and least restrictive environmental safeguards.</x:v>
      </x:c>
      <x:c r="E4" s="22" t="str">
        <x:v>Escalate near-elopement or inability to maintain safety.</x:v>
      </x:c>
    </x:row>
    <x:row r="5" ht="54" customHeight="1">
      <x:c r="A5" s="22" t="str">
        <x:v>Dementia / cognitive impairment</x:v>
      </x:c>
      <x:c r="B5" s="22" t="str">
        <x:v>AS-12 Sleep / Night Routine</x:v>
      </x:c>
      <x:c r="C5" s="22" t="str">
        <x:v>1–4</x:v>
      </x:c>
      <x:c r="D5" s="22" t="str">
        <x:v>Maintain predictable day/night routine, reduce evening stimulation and use calm reorientation/reassurance.</x:v>
      </x:c>
      <x:c r="E5" s="22" t="str">
        <x:v>Sudden worsening may reflect delirium/illness and needs clinical review.</x:v>
      </x:c>
    </x:row>
    <x:row r="6" ht="54" customHeight="1">
      <x:c r="A6" s="22" t="str">
        <x:v>Diabetes</x:v>
      </x:c>
      <x:c r="B6" s="22" t="str">
        <x:v>AS-06 Clinical Monitoring / Condition Management</x:v>
      </x:c>
      <x:c r="C6" s="22" t="str">
        <x:v>1–4</x:v>
      </x:c>
      <x:c r="D6" s="22" t="str">
        <x:v>Check glucose and symptoms at ordered frequency; coordinate trends with meals/medications and report out-of-range findings per parameters.</x:v>
      </x:c>
      <x:c r="E6" s="22" t="str">
        <x:v>Do not invent glucose targets; use resident-specific orders.</x:v>
      </x:c>
    </x:row>
    <x:row r="7" ht="54" customHeight="1">
      <x:c r="A7" s="22" t="str">
        <x:v>Diabetes</x:v>
      </x:c>
      <x:c r="B7" s="22" t="str">
        <x:v>AS-07 Medication Support</x:v>
      </x:c>
      <x:c r="C7" s="22" t="str">
        <x:v>1–4</x:v>
      </x:c>
      <x:c r="D7" s="22" t="str">
        <x:v>Coordinate diabetes medication timing with meals and glucose monitoring as ordered; observe for hypo/hyperglycemia symptoms.</x:v>
      </x:c>
      <x:c r="E7" s="22" t="str">
        <x:v>Medication changes require prescriber order.</x:v>
      </x:c>
    </x:row>
    <x:row r="8" ht="54" customHeight="1">
      <x:c r="A8" s="22" t="str">
        <x:v>Diabetes</x:v>
      </x:c>
      <x:c r="B8" s="22" t="str">
        <x:v>AS-08 Nutrition / Hydration / Swallowing</x:v>
      </x:c>
      <x:c r="C8" s="22" t="str">
        <x:v>0–3</x:v>
      </x:c>
      <x:c r="D8" s="22" t="str">
        <x:v>Support consistent meals and appropriate choices within prescribed diet; monitor poor intake when medication may lower glucose.</x:v>
      </x:c>
      <x:c r="E8" s="22" t="str">
        <x:v>Avoid unnecessarily restrictive diets without an order.</x:v>
      </x:c>
    </x:row>
    <x:row r="9" ht="54" customHeight="1">
      <x:c r="A9" s="22" t="str">
        <x:v>Diabetes</x:v>
      </x:c>
      <x:c r="B9" s="22" t="str">
        <x:v>AS-11 Skin Integrity</x:v>
      </x:c>
      <x:c r="C9" s="22" t="str">
        <x:v>0–3</x:v>
      </x:c>
      <x:c r="D9" s="22" t="str">
        <x:v>Observe feet/skin for breaks, redness, warmth or infection and report promptly.</x:v>
      </x:c>
      <x:c r="E9" s="22" t="str">
        <x:v>No invasive foot care outside staff scope.</x:v>
      </x:c>
    </x:row>
    <x:row r="10" ht="54" customHeight="1">
      <x:c r="A10" s="22" t="str">
        <x:v>Hypertension</x:v>
      </x:c>
      <x:c r="B10" s="22" t="str">
        <x:v>AS-06 Clinical Monitoring / Condition Management</x:v>
      </x:c>
      <x:c r="C10" s="22" t="str">
        <x:v>1–3</x:v>
      </x:c>
      <x:c r="D10" s="22" t="str">
        <x:v>Monitor BP and related symptoms at ordered frequency; use same technique and report persistent abnormal findings.</x:v>
      </x:c>
      <x:c r="E10" s="22" t="str">
        <x:v>Resident-specific parameters come from clinician orders.</x:v>
      </x:c>
    </x:row>
    <x:row r="11" ht="54" customHeight="1">
      <x:c r="A11" s="22" t="str">
        <x:v>CKD history / renal disease</x:v>
      </x:c>
      <x:c r="B11" s="22" t="str">
        <x:v>AS-06 Clinical Monitoring / Condition Management</x:v>
      </x:c>
      <x:c r="C11" s="22" t="str">
        <x:v>1–4</x:v>
      </x:c>
      <x:c r="D11" s="22" t="str">
        <x:v>Monitor hydration, edema, weight, BP and urine changes if ordered; report deterioration early.</x:v>
      </x:c>
      <x:c r="E11" s="22" t="str">
        <x:v>Do not impose fluid or renal-diet restrictions unless prescribed.</x:v>
      </x:c>
    </x:row>
    <x:row r="12" ht="54" customHeight="1">
      <x:c r="A12" s="22" t="str">
        <x:v>CKD history / renal disease</x:v>
      </x:c>
      <x:c r="B12" s="22" t="str">
        <x:v>AS-08 Nutrition / Hydration / Swallowing</x:v>
      </x:c>
      <x:c r="C12" s="22" t="str">
        <x:v>0–3</x:v>
      </x:c>
      <x:c r="D12" s="22" t="str">
        <x:v>Support adequate intake while following any prescribed renal diet/fluid plan.</x:v>
      </x:c>
      <x:c r="E12" s="22" t="str">
        <x:v>Verify whether CKD is active/current rather than history only.</x:v>
      </x:c>
    </x:row>
    <x:row r="13" ht="54" customHeight="1">
      <x:c r="A13" s="22" t="str">
        <x:v>Frailty / post-hospital deconditioning</x:v>
      </x:c>
      <x:c r="B13" s="22" t="str">
        <x:v>AS-02 Mobility / Transfers</x:v>
      </x:c>
      <x:c r="C13" s="22" t="str">
        <x:v>1–3</x:v>
      </x:c>
      <x:c r="D13" s="22" t="str">
        <x:v>Use short supervised walks, rest breaks and consistent transfer technique; avoid rushing.</x:v>
      </x:c>
      <x:c r="E13" s="22" t="str">
        <x:v>Reassess if assistance or endurance worsens.</x:v>
      </x:c>
    </x:row>
    <x:row r="14" ht="54" customHeight="1">
      <x:c r="A14" s="22" t="str">
        <x:v>Frailty / post-hospital deconditioning</x:v>
      </x:c>
      <x:c r="B14" s="22" t="str">
        <x:v>AS-08 Nutrition / Hydration / Swallowing</x:v>
      </x:c>
      <x:c r="C14" s="22" t="str">
        <x:v>1–3</x:v>
      </x:c>
      <x:c r="D14" s="22" t="str">
        <x:v>Track intake/weight if at risk and offer nutrient-dense preferred foods/supplements as ordered.</x:v>
      </x:c>
      <x:c r="E14" s="22" t="str">
        <x:v>Escalate ongoing weight loss or dehydration.</x:v>
      </x:c>
    </x:row>
    <x:row r="15" ht="54" customHeight="1">
      <x:c r="A15" s="22" t="str">
        <x:v>Frailty / post-hospital deconditioning</x:v>
      </x:c>
      <x:c r="B15" s="22" t="str">
        <x:v>AS-14 Reablement / Therapy / Functional Maintenance</x:v>
      </x:c>
      <x:c r="C15" s="22" t="str">
        <x:v>1–3</x:v>
      </x:c>
      <x:c r="D15" s="22" t="str">
        <x:v>Encourage graded activity and carry over therapist-prescribed exercises/functional tasks.</x:v>
      </x:c>
      <x:c r="E15" s="22" t="str">
        <x:v>Hold and report activity if pain, dizziness or acute decline occurs.</x:v>
      </x:c>
    </x:row>
    <x:row r="16" ht="54" customHeight="1">
      <x:c r="A16" s="22" t="str">
        <x:v>Fall history / gait instability</x:v>
      </x:c>
      <x:c r="B16" s="22" t="str">
        <x:v>AS-03 Fall Risk</x:v>
      </x:c>
      <x:c r="C16" s="22" t="str">
        <x:v>1–4</x:v>
      </x:c>
      <x:c r="D16" s="22" t="str">
        <x:v>Individualize precautions, supervise high-risk activity, review near-falls/falls and address environmental contributors.</x:v>
      </x:c>
      <x:c r="E16" s="22" t="str">
        <x:v>Increase supervision if recurrent unsafe mobility occurs.</x:v>
      </x:c>
    </x:row>
    <x:row r="17" ht="54" customHeight="1">
      <x:c r="A17" s="22" t="str">
        <x:v>Fall history / gait instability</x:v>
      </x:c>
      <x:c r="B17" s="22" t="str">
        <x:v>AS-02 Mobility / Transfers</x:v>
      </x:c>
      <x:c r="C17" s="22" t="str">
        <x:v>1–4</x:v>
      </x:c>
      <x:c r="D17" s="22" t="str">
        <x:v>Ensure device setup, standby/contact guard or physical assistance matches current mobility status.</x:v>
      </x:c>
      <x:c r="E17" s="22" t="str">
        <x:v>Reassess after any fall or new gait/balance change.</x:v>
      </x:c>
    </x:row>
    <x:row r="18" ht="54" customHeight="1">
      <x:c r="A18" s="22" t="str">
        <x:v>Malnutrition / low weight</x:v>
      </x:c>
      <x:c r="B18" s="22" t="str">
        <x:v>AS-08 Nutrition / Hydration / Swallowing</x:v>
      </x:c>
      <x:c r="C18" s="22" t="str">
        <x:v>2–4</x:v>
      </x:c>
      <x:c r="D18" s="22" t="str">
        <x:v>Track intake and weight trend, provide meal support and prescribed supplements, and escalate persistent poor intake.</x:v>
      </x:c>
      <x:c r="E18" s="22" t="str">
        <x:v>Verify current weight/BMI/trend and formal diagnosis.</x:v>
      </x:c>
    </x:row>
    <x:row r="19" ht="54" customHeight="1">
      <x:c r="A19" s="22" t="str">
        <x:v>Urinary incontinence / UTI risk</x:v>
      </x:c>
      <x:c r="B19" s="22" t="str">
        <x:v>AS-10 Continence / Toileting</x:v>
      </x:c>
      <x:c r="C19" s="22" t="str">
        <x:v>1–4</x:v>
      </x:c>
      <x:c r="D19" s="22" t="str">
        <x:v>Use individualized toileting schedule, prompt product changes, hygiene/skin protection and observe for urinary symptoms.</x:v>
      </x:c>
      <x:c r="E19" s="22" t="str">
        <x:v>New fever/confusion/dysuria may need clinical review.</x:v>
      </x:c>
    </x:row>
    <x:row r="20" ht="54" customHeight="1">
      <x:c r="A20" s="22" t="str">
        <x:v>Urinary incontinence / UTI risk</x:v>
      </x:c>
      <x:c r="B20" s="22" t="str">
        <x:v>AS-06 Clinical Monitoring / Condition Management</x:v>
      </x:c>
      <x:c r="C20" s="22" t="str">
        <x:v>1–3</x:v>
      </x:c>
      <x:c r="D20" s="22" t="str">
        <x:v>Watch for systemic change associated with urinary symptoms, especially after recent UTI/hospitalization.</x:v>
      </x:c>
      <x:c r="E20" s="22" t="str">
        <x:v>Do not label cloudy/foul urine alone as infection; follow clinical protocol.</x:v>
      </x:c>
    </x:row>
    <x:row r="21" ht="54" customHeight="1">
      <x:c r="A21" s="22" t="str">
        <x:v>Dysphagia</x:v>
      </x:c>
      <x:c r="B21" s="22" t="str">
        <x:v>AS-08 Nutrition / Hydration / Swallowing</x:v>
      </x:c>
      <x:c r="C21" s="22" t="str">
        <x:v>2–4</x:v>
      </x:c>
      <x:c r="D21" s="22" t="str">
        <x:v>Follow SLP-prescribed texture, positioning and pacing; stop and report coughing/choking/wet voice.</x:v>
      </x:c>
      <x:c r="E21" s="22" t="str">
        <x:v>Emergency response for choking; do not modify texture independently.</x:v>
      </x:c>
    </x:row>
    <x:row r="22" ht="54" customHeight="1">
      <x:c r="A22" s="22" t="str">
        <x:v>Stroke / hemiparesis</x:v>
      </x:c>
      <x:c r="B22" s="22" t="str">
        <x:v>AS-02 Mobility / Transfers</x:v>
      </x:c>
      <x:c r="C22" s="22" t="str">
        <x:v>2–4</x:v>
      </x:c>
      <x:c r="D22" s="22" t="str">
        <x:v>Use therapy-prescribed transfer side, device and assistance level; protect affected arm and avoid pulling.</x:v>
      </x:c>
      <x:c r="E22" s="22" t="str">
        <x:v>New neurologic change is urgent.</x:v>
      </x:c>
    </x:row>
    <x:row r="23" ht="54" customHeight="1">
      <x:c r="A23" s="22" t="str">
        <x:v>Stroke / hemiparesis</x:v>
      </x:c>
      <x:c r="B23" s="22" t="str">
        <x:v>AS-01 ADLs / Personal Care</x:v>
      </x:c>
      <x:c r="C23" s="22" t="str">
        <x:v>1–4</x:v>
      </x:c>
      <x:c r="D23" s="22" t="str">
        <x:v>Allow participation using stronger side/adaptive methods and follow OT dressing/grooming technique when prescribed.</x:v>
      </x:c>
      <x:c r="E23" s="22" t="str">
        <x:v>Adjust workload for fatigue.</x:v>
      </x:c>
    </x:row>
    <x:row r="24" ht="54" customHeight="1">
      <x:c r="A24" s="22" t="str">
        <x:v>Parkinsonism</x:v>
      </x:c>
      <x:c r="B24" s="22" t="str">
        <x:v>AS-02 Mobility / Transfers</x:v>
      </x:c>
      <x:c r="C24" s="22" t="str">
        <x:v>1–4</x:v>
      </x:c>
      <x:c r="D24" s="22" t="str">
        <x:v>Allow time for initiation/freezing, use therapy-approved cues and avoid pulling/rushing.</x:v>
      </x:c>
      <x:c r="E24" s="22" t="str">
        <x:v>Report sudden mobility decline.</x:v>
      </x:c>
    </x:row>
    <x:row r="25" ht="54" customHeight="1">
      <x:c r="A25" s="22" t="str">
        <x:v>Hearing loss</x:v>
      </x:c>
      <x:c r="B25" s="22" t="str">
        <x:v>AS-09 Communication</x:v>
      </x:c>
      <x:c r="C25" s="22" t="str">
        <x:v>1–4</x:v>
      </x:c>
      <x:c r="D25" s="22" t="str">
        <x:v>Face resident, reduce background noise, ensure hearing aid access and use written/visual alternatives as needed.</x:v>
      </x:c>
      <x:c r="E25" s="22" t="str">
        <x:v>Check sensory aids before attributing poor response to cognition.</x:v>
      </x:c>
    </x:row>
    <x:row r="26" ht="54" customHeight="1">
      <x:c r="A26" s="22" t="str">
        <x:v>Visual impairment</x:v>
      </x:c>
      <x:c r="B26" s="22" t="str">
        <x:v>AS-09 Communication</x:v>
      </x:c>
      <x:c r="C26" s="22" t="str">
        <x:v>1–4</x:v>
      </x:c>
      <x:c r="D26" s="22" t="str">
        <x:v>Use good lighting, contrast, consistent object placement and verbal orientation to environment.</x:v>
      </x:c>
      <x:c r="E26" s="22" t="str">
        <x:v>Avoid moving furniture/supplies unnecessarily.</x:v>
      </x:c>
    </x:row>
    <x:row r="27" ht="54" customHeight="1">
      <x:c r="A27" s="22" t="str">
        <x:v>Pressure injury / skin breakdown</x:v>
      </x:c>
      <x:c r="B27" s="22" t="str">
        <x:v>AS-11 Skin Integrity</x:v>
      </x:c>
      <x:c r="C27" s="22" t="str">
        <x:v>2–4</x:v>
      </x:c>
      <x:c r="D27" s="22" t="str">
        <x:v>Follow wound orders, pressure off-loading/repositioning plan and track deterioration/infection signs.</x:v>
      </x:c>
      <x:c r="E27" s="22" t="str">
        <x:v>Escalate rapidly worsening wound/systemic infection.</x:v>
      </x:c>
    </x:row>
    <x:row r="28" ht="54" customHeight="1">
      <x:c r="A28" s="22" t="str">
        <x:v>Anxiety / agitation</x:v>
      </x:c>
      <x:c r="B28" s="22" t="str">
        <x:v>AS-05 Behavior / BPSD</x:v>
      </x:c>
      <x:c r="C28" s="22" t="str">
        <x:v>1–4</x:v>
      </x:c>
      <x:c r="D28" s="22" t="str">
        <x:v>Use calm reassurance, predictable explanations, trigger reduction and individualized calming activities.</x:v>
      </x:c>
      <x:c r="E28" s="22" t="str">
        <x:v>New or severe behavior change needs clinical cause review.</x:v>
      </x:c>
    </x:row>
    <x:row r="29" ht="54" customHeight="1">
      <x:c r="A29" s="22" t="str">
        <x:v>Sleep disturbance / sundowning</x:v>
      </x:c>
      <x:c r="B29" s="22" t="str">
        <x:v>AS-12 Sleep / Night Routine</x:v>
      </x:c>
      <x:c r="C29" s="22" t="str">
        <x:v>1–4</x:v>
      </x:c>
      <x:c r="D29" s="22" t="str">
        <x:v>Use consistent bedtime routine, daytime activity/light exposure, low-stimulation evening and address pain/toileting needs.</x:v>
      </x:c>
      <x:c r="E29" s="22" t="str">
        <x:v>Sudden severe change may be delirium/illness.</x:v>
      </x:c>
    </x:row>
  </x:sheetData>
  <x:pageMargins left="0.7" right="0.7" top="0.75" bottom="0.75" header="0.3" footer="0.3"/>
  <x:tableParts count="1">
    <x:tablePart xmlns:r="http://schemas.openxmlformats.org/officeDocument/2006/relationships" r:id="Rb185a3ad48dd48dc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60" hidden="0" customWidth="1"/>
    <x:col min="3" max="3" width="70" hidden="0" customWidth="1"/>
    <x:col min="4" max="4" width="30" hidden="0" customWidth="1"/>
    <x:col min="5" max="5" width="35" hidden="0" customWidth="1"/>
    <x:col min="6" max="6" width="55" hidden="0" customWidth="1"/>
    <x:col min="8" max="8" width="18" hidden="0" customWidth="1"/>
    <x:col min="9" max="9" width="12" hidden="0" customWidth="1"/>
    <x:col min="10" max="10" width="14" hidden="0" customWidth="1"/>
  </x:cols>
  <x:sheetData>
    <x:row r="1">
      <x:c r="A1" s="27" t="str">
        <x:v>Key</x:v>
      </x:c>
      <x:c r="B1" s="27" t="str">
        <x:v>Goal</x:v>
      </x:c>
      <x:c r="C1" s="27" t="str">
        <x:v>Core Task Bundle</x:v>
      </x:c>
      <x:c r="D1" s="27" t="str">
        <x:v>Frequency</x:v>
      </x:c>
      <x:c r="E1" s="27" t="str">
        <x:v>Owner</x:v>
      </x:c>
      <x:c r="F1" s="27" t="str">
        <x:v>Escalation Trigger</x:v>
      </x:c>
      <x:c r="G1" s="27"/>
      <x:c r="H1" s="27" t="str">
        <x:v>Domain Code List</x:v>
      </x:c>
      <x:c r="I1" s="27" t="str">
        <x:v>Score List</x:v>
      </x:c>
      <x:c r="J1" s="27" t="str">
        <x:v>Status List</x:v>
      </x:c>
    </x:row>
    <x:row r="2">
      <x:c r="A2" s="22" t="str">
        <x:v>AS-01|0</x:v>
      </x:c>
      <x:c r="B2" s="22" t="str">
        <x:v>Maintain independence with personal care and respect the resident’s preferred routines, timing and choices.</x:v>
      </x:c>
      <x:c r="C2" s="22" t="str">
        <x:v>• Allow resident to complete bathing, dressing, grooming, toileting and eating independently.
• Set out preferred toiletries/clothing only if requested.
• Respect usual timing, sequence, privacy and cultural preferences.
• Observe for new difficulty, fatigue, pain or decline during self-care.</x:v>
      </x:c>
      <x:c r="D2" s="22" t="str">
        <x:v>Routine observation; assistance only on request</x:v>
      </x:c>
      <x:c r="E2" s="22" t="str">
        <x:v>Caregiver / care staff</x:v>
      </x:c>
      <x:c r="F2" s="22" t="str">
        <x:v>New hands-on assistance, repeated missed hygiene, pain, fatigue or safety concern.</x:v>
      </x:c>
      <x:c r="H2" t="str">
        <x:v>AS-01</x:v>
      </x:c>
      <x:c r="I2" t="n">
        <x:v>0</x:v>
      </x:c>
      <x:c r="J2" t="str">
        <x:v>Draft</x:v>
      </x:c>
    </x:row>
    <x:row r="3">
      <x:c r="A3" s="22" t="str">
        <x:v>AS-01|1</x:v>
      </x:c>
      <x:c r="B3" s="22" t="str">
        <x:v>Maintain independence with self-care, providing occasional setup or cueing as needed while respecting preferred routines and choices.</x:v>
      </x:c>
      <x:c r="C3" s="22" t="str">
        <x:v>• Provide setup for selected ADLs (e.g., clothing, toiletries, meal tray).
• Give one-step reminders or verbal cueing only when needed.
• Encourage resident to complete remaining steps independently.
• Document which ADLs needed cueing/setup and any change from baseline.</x:v>
      </x:c>
      <x:c r="D3" s="22" t="str">
        <x:v>Per ADL episode; document exceptions</x:v>
      </x:c>
      <x:c r="E3" s="22" t="str">
        <x:v>Caregiver / care staff</x:v>
      </x:c>
      <x:c r="F3" s="22" t="str">
        <x:v>Need for regular physical help, repeated incomplete ADLs or increased fatigue.</x:v>
      </x:c>
      <x:c r="H3" t="str">
        <x:v>AS-02</x:v>
      </x:c>
      <x:c r="I3" t="n">
        <x:v>1</x:v>
      </x:c>
      <x:c r="J3" t="str">
        <x:v>Active</x:v>
      </x:c>
    </x:row>
    <x:row r="4">
      <x:c r="A4" s="22" t="str">
        <x:v>AS-01|2</x:v>
      </x:c>
      <x:c r="B4" s="22" t="str">
        <x:v>Maximize participation in personal care while providing regular hands-on assistance as needed. Maintain privacy, dignity and preferred routines.</x:v>
      </x:c>
      <x:c r="C4" s="22" t="str">
        <x:v>• Provide hands-on help for identified ADLs while allowing resident to perform safe steps.
• Use agreed transfer/body mechanics during bathing, dressing and toileting.
• Offer simple choices for clothing, grooming and timing.
• Check skin and comfort during personal care and report concerns.</x:v>
      </x:c>
      <x:c r="D4" s="22" t="str">
        <x:v>Regularly during identified ADLs</x:v>
      </x:c>
      <x:c r="E4" s="22" t="str">
        <x:v>Caregiver / care staff</x:v>
      </x:c>
      <x:c r="F4" s="22" t="str">
        <x:v>Assistance expands to multiple ADLs, two-person help becomes necessary, or resident cannot participate safely.</x:v>
      </x:c>
      <x:c r="H4" t="str">
        <x:v>AS-03</x:v>
      </x:c>
      <x:c r="I4" t="n">
        <x:v>2</x:v>
      </x:c>
      <x:c r="J4" t="str">
        <x:v>Closed</x:v>
      </x:c>
    </x:row>
    <x:row r="5">
      <x:c r="A5" s="22" t="str">
        <x:v>AS-01|3</x:v>
      </x:c>
      <x:c r="B5" s="22" t="str">
        <x:v>Encourage the resident to participate in personal care to the extent safely possible while providing extensive assistance across needed ADLs. Preserve dignity and personal choices.</x:v>
      </x:c>
      <x:c r="C5" s="22" t="str">
        <x:v>• Provide extensive hands-on assistance across multiple ADLs using a consistent sequence.
• Prepare all supplies before care and cluster tasks to reduce fatigue.
• Encourage participation in any safe step (face washing, arm through sleeve, self-feeding portions).
• Complete post-care comfort, hygiene and skin checks.</x:v>
      </x:c>
      <x:c r="D5" s="22" t="str">
        <x:v>Each personal-care episode; structured routine</x:v>
      </x:c>
      <x:c r="E5" s="22" t="str">
        <x:v>Caregiver / care staff</x:v>
      </x:c>
      <x:c r="F5" s="22" t="str">
        <x:v>Near-total dependence, distress with care, new swallowing/feeding dependence or care exceeds staffing plan.</x:v>
      </x:c>
      <x:c r="H5" t="str">
        <x:v>AS-04</x:v>
      </x:c>
      <x:c r="I5" t="n">
        <x:v>3</x:v>
      </x:c>
    </x:row>
    <x:row r="6">
      <x:c r="A6" s="22" t="str">
        <x:v>AS-01|4</x:v>
      </x:c>
      <x:c r="B6" s="22" t="str">
        <x:v>Maintain comfort, dignity and personal preferences during all personal care. Encourage any safe participation despite extensive dependence.</x:v>
      </x:c>
      <x:c r="C6" s="22" t="str">
        <x:v>• Provide near-total/total assistance for personal care while protecting privacy and dignity.
• Use two-person/mechanical assistance when required by the care plan and trained staff.
• Reposition and provide comfort measures during/after care.
• Offer meaningful choices and observe non-verbal signs of pain or distress.</x:v>
      </x:c>
      <x:c r="D6" s="22" t="str">
        <x:v>Every ADL episode; high-frequency care</x:v>
      </x:c>
      <x:c r="E6" s="22" t="str">
        <x:v>Caregiver / care staff</x:v>
      </x:c>
      <x:c r="F6" s="22" t="str">
        <x:v>Pain, skin breakdown, recurrent care refusal, unsafe transfer needs or needs beyond service capability.</x:v>
      </x:c>
      <x:c r="H6" t="str">
        <x:v>AS-05</x:v>
      </x:c>
      <x:c r="I6" t="n">
        <x:v>4</x:v>
      </x:c>
    </x:row>
    <x:row r="7">
      <x:c r="A7" s="22" t="str">
        <x:v>AS-02|0</x:v>
      </x:c>
      <x:c r="B7" s="22" t="str">
        <x:v>Maintain safe, independent mobility and transfers at the resident’s preferred pace and routine.</x:v>
      </x:c>
      <x:c r="C7" s="22" t="str">
        <x:v>• Encourage independent walking and transfers at usual pace.
• Keep usual mobility route uncluttered and footwear accessible.
• Ensure commonly used items are within safe reach.
• Observe for new gait, endurance or transfer changes.</x:v>
      </x:c>
      <x:c r="D7" s="22" t="str">
        <x:v>Routine observation</x:v>
      </x:c>
      <x:c r="E7" s="22" t="str">
        <x:v>Caregiver / care staff; nurse oversight as needed</x:v>
      </x:c>
      <x:c r="F7" s="22" t="str">
        <x:v>New unsteadiness, fall/near-fall, dizziness or need for physical assistance.</x:v>
      </x:c>
      <x:c r="H7" t="str">
        <x:v>AS-06</x:v>
      </x:c>
    </x:row>
    <x:row r="8">
      <x:c r="A8" s="22" t="str">
        <x:v>AS-02|1</x:v>
      </x:c>
      <x:c r="B8" s="22" t="str">
        <x:v>Maintain safe mobility with appropriate device, setup or intermittent standby assistance while preserving independence.</x:v>
      </x:c>
      <x:c r="C8" s="22" t="str">
        <x:v>• Set up prescribed mobility device before ambulation.
• Provide standby assistance for transfers or longer walks as identified.
• Remind resident to use device/handrails and appropriate footwear.
• Document episodes requiring more than standby help.</x:v>
      </x:c>
      <x:c r="D8" s="22" t="str">
        <x:v>Intermittent / identified activities</x:v>
      </x:c>
      <x:c r="E8" s="22" t="str">
        <x:v>Caregiver / care staff; nurse oversight as needed</x:v>
      </x:c>
      <x:c r="F8" s="22" t="str">
        <x:v>Recurring contact guard, transfer difficulty, near-falls or reduced endurance.</x:v>
      </x:c>
      <x:c r="H8" t="str">
        <x:v>AS-07</x:v>
      </x:c>
    </x:row>
    <x:row r="9">
      <x:c r="A9" s="22" t="str">
        <x:v>AS-02|2</x:v>
      </x:c>
      <x:c r="B9" s="22" t="str">
        <x:v>Promote safe mobility and transfers with supervision, contact guard or minimal assistance as needed. Encourage active participation and independence.</x:v>
      </x:c>
      <x:c r="C9" s="22" t="str">
        <x:v>• Provide recurring supervision/contact guard or minimal assist for transfers and ambulation.
• Use the same transfer technique and cue sequence across staff.
• Position mobility device correctly before standing/sitting.
• Monitor gait, balance, fatigue and dizziness during mobility.</x:v>
      </x:c>
      <x:c r="D9" s="22" t="str">
        <x:v>Each identified transfer/walk</x:v>
      </x:c>
      <x:c r="E9" s="22" t="str">
        <x:v>Caregiver / care staff; nurse oversight as needed</x:v>
      </x:c>
      <x:c r="F9" s="22" t="str">
        <x:v>Need for substantial physical help, two-person transfer, recurrent buckling or falls.</x:v>
      </x:c>
      <x:c r="H9" t="str">
        <x:v>AS-08</x:v>
      </x:c>
    </x:row>
    <x:row r="10">
      <x:c r="A10" s="22" t="str">
        <x:v>AS-02|3</x:v>
      </x:c>
      <x:c r="B10" s="22" t="str">
        <x:v>Maintain safe mobility and transfers using the established assistance level, technique and equipment while encouraging participation as tolerated.</x:v>
      </x:c>
      <x:c r="C10" s="22" t="str">
        <x:v>• Provide substantial physical assistance for transfers and frequent mobility help.
• Use gait belt/device only if approved by policy/care plan and staff are trained.
• Plan toileting/meals to reduce unnecessary high-risk transfers.
• Coordinate mobility technique with nurse/PT/OT and document tolerance.</x:v>
      </x:c>
      <x:c r="D10" s="22" t="str">
        <x:v>Frequent; most transfers/mobility episodes</x:v>
      </x:c>
      <x:c r="E10" s="22" t="str">
        <x:v>Caregiver / care staff; nurse oversight as needed</x:v>
      </x:c>
      <x:c r="F10" s="22" t="str">
        <x:v>Unsafe one-person transfer, rapid decline, new neurologic deficit or inability to bear weight.</x:v>
      </x:c>
      <x:c r="H10" t="str">
        <x:v>AS-09</x:v>
      </x:c>
    </x:row>
    <x:row r="11">
      <x:c r="A11" s="22" t="str">
        <x:v>AS-02|4</x:v>
      </x:c>
      <x:c r="B11" s="22" t="str">
        <x:v>Ensure safe and comfortable transfers and mobility with extensive assistance while preserving dignity, comfort and any remaining functional ability.</x:v>
      </x:c>
      <x:c r="C11" s="22" t="str">
        <x:v>• Provide extensive transfer/mobility support according to the established safe-handling plan.
• Use mechanical/two-person transfer when required and available within capability.
• Reposition regularly and support comfort in bed/chair.
• Check for pain, skin pressure and tolerance after transfers.</x:v>
      </x:c>
      <x:c r="D11" s="22" t="str">
        <x:v>Every transfer/repositioning episode</x:v>
      </x:c>
      <x:c r="E11" s="22" t="str">
        <x:v>Caregiver / care staff; nurse oversight as needed</x:v>
      </x:c>
      <x:c r="F11" s="22" t="str">
        <x:v>New pain/injury, inability to transfer safely with current resources or equipment failure.</x:v>
      </x:c>
      <x:c r="H11" t="str">
        <x:v>AS-10</x:v>
      </x:c>
    </x:row>
    <x:row r="12">
      <x:c r="A12" s="22" t="str">
        <x:v>AS-03|0</x:v>
      </x:c>
      <x:c r="B12" s="22" t="str">
        <x:v>Maintain safe independent mobility using routine fall-prevention measures and a safe environment.</x:v>
      </x:c>
      <x:c r="C12" s="22" t="str">
        <x:v>• Maintain clear pathways, adequate lighting and safe footwear.
• Keep call system/personal items within reach.
• Encourage usual safe mobility habits.
• Record any new fall or near-fall.</x:v>
      </x:c>
      <x:c r="D12" s="22" t="str">
        <x:v>Routine prevention</x:v>
      </x:c>
      <x:c r="E12" s="22" t="str">
        <x:v>Caregiver + nurse</x:v>
      </x:c>
      <x:c r="F12" s="22" t="str">
        <x:v>Any fall/near-fall or newly identified fall-risk factor.</x:v>
      </x:c>
      <x:c r="H12" t="str">
        <x:v>AS-11</x:v>
      </x:c>
    </x:row>
    <x:row r="13">
      <x:c r="A13" s="22" t="str">
        <x:v>AS-03|1</x:v>
      </x:c>
      <x:c r="B13" s="22" t="str">
        <x:v>Maintain safe mobility and prevent falls through routine precautions while preserving independence.</x:v>
      </x:c>
      <x:c r="C13" s="22" t="str">
        <x:v>• Complete routine fall-prevention check each shift/day per policy.
• Remind resident to use mobility device and avoid rushing.
• Ensure room/bathroom setup supports safe movement.
• Review any near-fall for contributing factors.</x:v>
      </x:c>
      <x:c r="D13" s="22" t="str">
        <x:v>Routine; after any near-fall</x:v>
      </x:c>
      <x:c r="E13" s="22" t="str">
        <x:v>Caregiver + nurse</x:v>
      </x:c>
      <x:c r="F13" s="22" t="str">
        <x:v>Repeated near-falls, new gait/balance concern or need for individualized precautions.</x:v>
      </x:c>
      <x:c r="H13" t="str">
        <x:v>AS-12</x:v>
      </x:c>
    </x:row>
    <x:row r="14">
      <x:c r="A14" s="22" t="str">
        <x:v>AS-03|2</x:v>
      </x:c>
      <x:c r="B14" s="22" t="str">
        <x:v>Reduce fall risk through individualized precautions, appropriate assistance and monitoring of gait, balance and contributing factors.</x:v>
      </x:c>
      <x:c r="C14" s="22" t="str">
        <x:v>• Implement individualized fall precautions documented in the care plan.
• Provide assistance for identified high-risk activities (toileting, transfers, showering).
• Monitor gait, balance, footwear, device use and environmental contributors.
• Review medications/clinical contributors with nurse when risk changes.</x:v>
      </x:c>
      <x:c r="D14" s="22" t="str">
        <x:v>Regular; each risk activity</x:v>
      </x:c>
      <x:c r="E14" s="22" t="str">
        <x:v>Caregiver + nurse</x:v>
      </x:c>
      <x:c r="F14" s="22" t="str">
        <x:v>Fall with injury, increasing supervision need, acute confusion or recurrent unsafe mobility.</x:v>
      </x:c>
      <x:c r="H14" t="str">
        <x:v>AS-13</x:v>
      </x:c>
    </x:row>
    <x:row r="15">
      <x:c r="A15" s="22" t="str">
        <x:v>AS-03|3</x:v>
      </x:c>
      <x:c r="B15" s="22" t="str">
        <x:v>Prevent falls and injury through regular supervision or assistance during identified risk activities while supporting safe mobility.</x:v>
      </x:c>
      <x:c r="C15" s="22" t="str">
        <x:v>• Provide regular supervision/assistance during mobility and identified risk periods.
• Schedule proactive toileting and respond promptly to mobility needs.
• Use individualized cues/redirection to prevent unsafe unassisted movement.
• Complete post-fall/near-fall review and update interventions.</x:v>
      </x:c>
      <x:c r="D15" s="22" t="str">
        <x:v>Frequent; high-risk periods</x:v>
      </x:c>
      <x:c r="E15" s="22" t="str">
        <x:v>Caregiver + nurse</x:v>
      </x:c>
      <x:c r="F15" s="22" t="str">
        <x:v>Recurrent falls despite plan, new injury, significant decline or need for near-continuous supervision.</x:v>
      </x:c>
      <x:c r="H15" t="str">
        <x:v>AS-14</x:v>
      </x:c>
    </x:row>
    <x:row r="16">
      <x:c r="A16" s="22" t="str">
        <x:v>AS-03|4</x:v>
      </x:c>
      <x:c r="B16" s="22" t="str">
        <x:v>Minimize falls and injury through intensive individualized prevention, close supervision and the least restrictive safety measures appropriate to the resident.</x:v>
      </x:c>
      <x:c r="C16" s="22" t="str">
        <x:v>• Maintain intensive individualized fall-prevention plan using least restrictive measures.
• Provide close supervision during all high-risk mobility/transfers.
• Use team handoff of current triggers, safest techniques and recent events.
• Escalate promptly after falls, head impact, acute change or inability to maintain safety.</x:v>
      </x:c>
      <x:c r="D16" s="22" t="str">
        <x:v>Very frequent / close supervision</x:v>
      </x:c>
      <x:c r="E16" s="22" t="str">
        <x:v>Caregiver + nurse</x:v>
      </x:c>
      <x:c r="F16" s="22" t="str">
        <x:v>Any serious injury, repeated uncontrolled falls or safety need beyond service capability.</x:v>
      </x:c>
    </x:row>
    <x:row r="17">
      <x:c r="A17" s="22" t="str">
        <x:v>AS-04|0</x:v>
      </x:c>
      <x:c r="B17" s="22" t="str">
        <x:v>Maintain autonomy, self-direction and participation in daily decisions and preferred routines.</x:v>
      </x:c>
      <x:c r="C17" s="22" t="str">
        <x:v>• Offer normal choices and involve resident directly in decisions.
• Maintain preferred routine and access to calendar/clock as desired.
• Communicate changes in schedule clearly.
• Observe for acute confusion or new memory difficulty.</x:v>
      </x:c>
      <x:c r="D17" s="22" t="str">
        <x:v>Routine</x:v>
      </x:c>
      <x:c r="E17" s="22" t="str">
        <x:v>Caregiver / care staff; nurse if acute change</x:v>
      </x:c>
      <x:c r="F17" s="22" t="str">
        <x:v>Acute change in cognition, unsafe judgment or new difficulty self-directing care.</x:v>
      </x:c>
    </x:row>
    <x:row r="18">
      <x:c r="A18" s="22" t="str">
        <x:v>AS-04|1</x:v>
      </x:c>
      <x:c r="B18" s="22" t="str">
        <x:v>Support independence and orientation with occasional reminders or cueing while allowing adequate time for decision-making.</x:v>
      </x:c>
      <x:c r="C18" s="22" t="str">
        <x:v>• Give occasional reminders for appointments, meals or daily routine.
• Use one-step cueing when resident loses track of a task.
• Allow extra processing time before repeating instructions.
• Document new or increasing cueing needs.</x:v>
      </x:c>
      <x:c r="D18" s="22" t="str">
        <x:v>Occasional / as needed</x:v>
      </x:c>
      <x:c r="E18" s="22" t="str">
        <x:v>Caregiver / care staff; nurse if acute change</x:v>
      </x:c>
      <x:c r="F18" s="22" t="str">
        <x:v>Regular reorientation becomes necessary, unsafe decisions increase or acute confusion appears.</x:v>
      </x:c>
    </x:row>
    <x:row r="19">
      <x:c r="A19" s="22" t="str">
        <x:v>AS-04|2</x:v>
      </x:c>
      <x:c r="B19" s="22" t="str">
        <x:v>Maintain participation in daily routines through regular cueing, reorientation and support with decisions while respecting the resident’s choices.</x:v>
      </x:c>
      <x:c r="C19" s="22" t="str">
        <x:v>• Provide regular cueing/reorientation using familiar language and routines.
• Offer limited, simple choices to preserve decision-making.
• Supervise decisions involving safety, medication and high-risk activities as care plan indicates.
• Use consistent staff approaches and document effective cues.</x:v>
      </x:c>
      <x:c r="D19" s="22" t="str">
        <x:v>Regular throughout day</x:v>
      </x:c>
      <x:c r="E19" s="22" t="str">
        <x:v>Caregiver / care staff; nurse if acute change</x:v>
      </x:c>
      <x:c r="F19" s="22" t="str">
        <x:v>Substantial impairment across multiple daily decisions, wandering/unsafe behavior or acute change.</x:v>
      </x:c>
    </x:row>
    <x:row r="20">
      <x:c r="A20" s="22" t="str">
        <x:v>AS-04|3</x:v>
      </x:c>
      <x:c r="B20" s="22" t="str">
        <x:v>Promote comfort and participation through structured routines, simple choices, familiar approaches and substantial support with daily-care decisions.</x:v>
      </x:c>
      <x:c r="C20" s="22" t="str">
        <x:v>• Use structured daily routine and repeated simple cues for most care activities.
• Break tasks into one-step directions and demonstrate when helpful.
• Anticipate needs when resident cannot reliably plan/sequence care.
• Record behavior/cognition patterns that affect care delivery.</x:v>
      </x:c>
      <x:c r="D20" s="22" t="str">
        <x:v>Frequent / most care interactions</x:v>
      </x:c>
      <x:c r="E20" s="22" t="str">
        <x:v>Caregiver / care staff; nurse if acute change</x:v>
      </x:c>
      <x:c r="F20" s="22" t="str">
        <x:v>Inability to self-direct basic care, severe distress, unsafe behavior or sudden decline.</x:v>
      </x:c>
    </x:row>
    <x:row r="21">
      <x:c r="A21" s="22" t="str">
        <x:v>AS-04|4</x:v>
      </x:c>
      <x:c r="B21" s="22" t="str">
        <x:v>Maintain comfort, dignity and familiarity through consistent routines, simple communication and pervasive support with daily care and decision-making.</x:v>
      </x:c>
      <x:c r="C21" s="22" t="str">
        <x:v>• Provide pervasive support for daily decisions and care sequencing.
• Use simple language, non-verbal cues and consistent familiar routines.
• Anticipate basic needs while still offering simple choices and seeking assent.
• Monitor non-verbal indicators of pain, fear, hunger or toileting need.</x:v>
      </x:c>
      <x:c r="D21" s="22" t="str">
        <x:v>Continuous across care day</x:v>
      </x:c>
      <x:c r="E21" s="22" t="str">
        <x:v>Caregiver / care staff; nurse if acute change</x:v>
      </x:c>
      <x:c r="F21" s="22" t="str">
        <x:v>Acute change, inability to maintain safety/comfort or support need beyond service capability.</x:v>
      </x:c>
    </x:row>
    <x:row r="22">
      <x:c r="A22" s="22" t="str">
        <x:v>AS-05|0</x:v>
      </x:c>
      <x:c r="B22" s="22" t="str">
        <x:v>Maintain emotional well-being, meaningful relationships, preferred activities and usual routines.</x:v>
      </x:c>
      <x:c r="C22" s="22" t="str">
        <x:v>• Support preferred social activities, hobbies and family contact.
• Respect privacy, coping style and desired level of engagement.
• Offer normal choices without forcing participation.
• Observe for new anxiety, withdrawal, agitation or mood change.</x:v>
      </x:c>
      <x:c r="D22" s="22" t="str">
        <x:v>Routine</x:v>
      </x:c>
      <x:c r="E22" s="22" t="str">
        <x:v>Caregiver + nurse; clinician as indicated</x:v>
      </x:c>
      <x:c r="F22" s="22" t="str">
        <x:v>Persistent mood/behavior change, safety concern or marked withdrawal.</x:v>
      </x:c>
    </x:row>
    <x:row r="23">
      <x:c r="A23" s="22" t="str">
        <x:v>AS-05|1</x:v>
      </x:c>
      <x:c r="B23" s="22" t="str">
        <x:v>Maintain emotional comfort with occasional reassurance or redirection while respecting preferences and usual coping strategies.</x:v>
      </x:c>
      <x:c r="C23" s="22" t="str">
        <x:v>• Provide occasional reassurance/redirection during distress.
• Use known calming activities and preferred communication style.
• Identify and document triggers when episodes occur.
• Return resident to preferred activity/routine after distress resolves.</x:v>
      </x:c>
      <x:c r="D23" s="22" t="str">
        <x:v>As needed</x:v>
      </x:c>
      <x:c r="E23" s="22" t="str">
        <x:v>Caregiver + nurse; clinician as indicated</x:v>
      </x:c>
      <x:c r="F23" s="22" t="str">
        <x:v>Episodes become regular, interfere with care or involve aggression/self-harm risk.</x:v>
      </x:c>
    </x:row>
    <x:row r="24">
      <x:c r="A24" s="22" t="str">
        <x:v>AS-05|2</x:v>
      </x:c>
      <x:c r="B24" s="22" t="str">
        <x:v>Promote emotional stability through predictable routines, reassurance and individualized approaches that reduce known triggers and distress.</x:v>
      </x:c>
      <x:c r="C24" s="22" t="str">
        <x:v>• Maintain predictable routine and proactively reduce known triggers.
• Use individualized reassurance, redirection and de-escalation plan.
• Offer meaningful activity matched to ability and preference.
• Document antecedent, behavior, response and effective intervention.</x:v>
      </x:c>
      <x:c r="D24" s="22" t="str">
        <x:v>Regular; at known trigger times</x:v>
      </x:c>
      <x:c r="E24" s="22" t="str">
        <x:v>Caregiver + nurse; clinician as indicated</x:v>
      </x:c>
      <x:c r="F24" s="22" t="str">
        <x:v>Increasing frequency/intensity, staff safety concern, care refusal with health impact or acute behavior change.</x:v>
      </x:c>
    </x:row>
    <x:row r="25">
      <x:c r="A25" s="22" t="str">
        <x:v>AS-05|3</x:v>
      </x:c>
      <x:c r="B25" s="22" t="str">
        <x:v>Reduce distress and maintain safety through frequent individualized reassurance, redirection and de-escalation while preserving dignity and choice.</x:v>
      </x:c>
      <x:c r="C25" s="22" t="str">
        <x:v>• Provide frequent individualized de-escalation/redirection and close follow-through.
• Assign consistent approaches and communicate triggers/effective responses at handoff.
• Modify environment/activity promptly when distress escalates.
• Coordinate clinical review for new or worsening behavior.</x:v>
      </x:c>
      <x:c r="D25" s="22" t="str">
        <x:v>Frequent; structured behavior plan</x:v>
      </x:c>
      <x:c r="E25" s="22" t="str">
        <x:v>Caregiver + nurse; clinician as indicated</x:v>
      </x:c>
      <x:c r="F25" s="22" t="str">
        <x:v>Injury risk, uncontrolled aggression, rapid behavior change or need for continuous one-to-one support.</x:v>
      </x:c>
    </x:row>
    <x:row r="26">
      <x:c r="A26" s="22" t="str">
        <x:v>AS-05|4</x:v>
      </x:c>
      <x:c r="B26" s="22" t="str">
        <x:v>Maintain safety, comfort and dignity through intensive person-centered behavioral support using individualized triggers, calming strategies and the least restrictive approach.</x:v>
      </x:c>
      <x:c r="C26" s="22" t="str">
        <x:v>• Implement intensive person-centered behavior support plan using least restrictive approaches.
• Maintain high consistency of routine, staffing approach and environment.
• Use proactive comfort checks and individualized calming/sensory strategies.
• Escalate urgently when behavior suggests pain, delirium, medication effect or imminent harm.</x:v>
      </x:c>
      <x:c r="D26" s="22" t="str">
        <x:v>Very frequent / intensive</x:v>
      </x:c>
      <x:c r="E26" s="22" t="str">
        <x:v>Caregiver + nurse; clinician as indicated</x:v>
      </x:c>
      <x:c r="F26" s="22" t="str">
        <x:v>Imminent harm, unmanageable distress or behavior needs beyond service capability.</x:v>
      </x:c>
    </x:row>
    <x:row r="27">
      <x:c r="A27" s="22" t="str">
        <x:v>AS-06|0</x:v>
      </x:c>
      <x:c r="B27" s="22" t="str">
        <x:v>Maintain current health and wellness through routine observation and healthy daily routines.</x:v>
      </x:c>
      <x:c r="C27" s="22" t="str">
        <x:v>• Perform routine wellness observation during normal care.
• Encourage usual hydration, nutrition, activity and rest.
• Record significant change from baseline.
• Follow routine preventive/medical appointments as scheduled.</x:v>
      </x:c>
      <x:c r="D27" s="22" t="str">
        <x:v>Routine wellness checks</x:v>
      </x:c>
      <x:c r="E27" s="22" t="str">
        <x:v>Nurse-led; caregiver observations</x:v>
      </x:c>
      <x:c r="F27" s="22" t="str">
        <x:v>New symptoms, abnormal ordered readings or change in function/mental status.</x:v>
      </x:c>
    </x:row>
    <x:row r="28">
      <x:c r="A28" s="22" t="str">
        <x:v>AS-06|1</x:v>
      </x:c>
      <x:c r="B28" s="22" t="str">
        <x:v>Maintain stability of the identified condition through limited scheduled monitoring and timely reporting of meaningful changes.</x:v>
      </x:c>
      <x:c r="C28" s="22" t="str">
        <x:v>• Complete limited scheduled monitoring for the identified stable condition.
• Record ordered measurements and symptoms in the designated record.
• Reinforce condition-specific self-management instructions within care scope.
• Notify nurse/provider of readings/symptoms outside ordered parameters.</x:v>
      </x:c>
      <x:c r="D28" s="22" t="str">
        <x:v>Scheduled, usually limited</x:v>
      </x:c>
      <x:c r="E28" s="22" t="str">
        <x:v>Nurse-led; caregiver observations</x:v>
      </x:c>
      <x:c r="F28" s="22" t="str">
        <x:v>Repeated abnormal findings, new symptoms or need for more frequent monitoring.</x:v>
      </x:c>
    </x:row>
    <x:row r="29">
      <x:c r="A29" s="22" t="str">
        <x:v>AS-06|2</x:v>
      </x:c>
      <x:c r="B29" s="22" t="str">
        <x:v>Maintain stability of chronic conditions through regular structured monitoring and timely coordination of care.</x:v>
      </x:c>
      <x:c r="C29" s="22" t="str">
        <x:v>• Carry out regular structured monitoring for one or more chronic conditions.
• Trend ordered readings, symptoms, weight or intake where applicable.
• Coordinate appointments/labs and ensure results/orders are communicated.
• Escalate early changes before they become acute.</x:v>
      </x:c>
      <x:c r="D29" s="22" t="str">
        <x:v>Regular structured schedule</x:v>
      </x:c>
      <x:c r="E29" s="22" t="str">
        <x:v>Nurse-led; caregiver observations</x:v>
      </x:c>
      <x:c r="F29" s="22" t="str">
        <x:v>Persistent abnormal readings, acute symptoms, rapid weight change, reduced intake/urine or functional decline.</x:v>
      </x:c>
    </x:row>
    <x:row r="30">
      <x:c r="A30" s="22" t="str">
        <x:v>AS-06|3</x:v>
      </x:c>
      <x:c r="B30" s="22" t="str">
        <x:v>Maintain clinical stability through frequent monitoring of interacting conditions, early recognition of deterioration and timely clinical coordination.</x:v>
      </x:c>
      <x:c r="C30" s="22" t="str">
        <x:v>• Perform frequent monitoring across interacting conditions using a documented schedule.
• Compare current findings with resident-specific baseline and ordered parameters.
• Coordinate medication, nutrition, hydration and appointment issues with nurse/provider.
• Provide clear shift-to-shift handoff of active clinical concerns.</x:v>
      </x:c>
      <x:c r="D30" s="22" t="str">
        <x:v>Frequent / multiple times as care plan requires</x:v>
      </x:c>
      <x:c r="E30" s="22" t="str">
        <x:v>Nurse-led; caregiver observations</x:v>
      </x:c>
      <x:c r="F30" s="22" t="str">
        <x:v>Acute deterioration, repeated out-of-range findings or need for interventions beyond service scope.</x:v>
      </x:c>
    </x:row>
    <x:row r="31">
      <x:c r="A31" s="22" t="str">
        <x:v>AS-06|4</x:v>
      </x:c>
      <x:c r="B31" s="22" t="str">
        <x:v>Maintain safety and clinical stability through very frequent structured monitoring, coordinated management and prompt escalation when needs approach service capability.</x:v>
      </x:c>
      <x:c r="C31" s="22" t="str">
        <x:v>• Provide very frequent structured clinical observation within service capability.
• Maintain active interdisciplinary coordination and explicit escalation thresholds.
• Document response to interventions and unresolved abnormalities.
• Initiate emergency/transfer process when criteria are met.</x:v>
      </x:c>
      <x:c r="D31" s="22" t="str">
        <x:v>Very frequent / near capability threshold</x:v>
      </x:c>
      <x:c r="E31" s="22" t="str">
        <x:v>Nurse-led; caregiver observations</x:v>
      </x:c>
      <x:c r="F31" s="22" t="str">
        <x:v>Any instability requiring hospital-level care, continuous clinical monitoring or capability exceeded.</x:v>
      </x:c>
    </x:row>
    <x:row r="32">
      <x:c r="A32" s="22" t="str">
        <x:v>AS-07|0</x:v>
      </x:c>
      <x:c r="B32" s="22" t="str">
        <x:v>Maintain safe and independent medication management according to the prescribed schedule.</x:v>
      </x:c>
      <x:c r="C32" s="22" t="str">
        <x:v>• Allow resident to self-manage medications when assessed safe and permitted.
• Keep medication routine and storage consistent with policy.
• Encourage use of personal reminder system if preferred.
• Report observed confusion, missed doses or adverse symptoms.</x:v>
      </x:c>
      <x:c r="D32" s="22" t="str">
        <x:v>Resident-led; routine observation</x:v>
      </x:c>
      <x:c r="E32" s="22" t="str">
        <x:v>Nurse / medication-authorized staff per policy</x:v>
      </x:c>
      <x:c r="F32" s="22" t="str">
        <x:v>Any missed/duplicate dose, confusion, unsafe storage or declining self-management.</x:v>
      </x:c>
    </x:row>
    <x:row r="33">
      <x:c r="A33" s="22" t="str">
        <x:v>AS-07|1</x:v>
      </x:c>
      <x:c r="B33" s="22" t="str">
        <x:v>Support medication adherence with reminders or setup as needed while maintaining as much independence as safely possible.</x:v>
      </x:c>
      <x:c r="C33" s="22" t="str">
        <x:v>• Provide reminders or setup support permitted by policy.
• Confirm resident has taken medication when supervision is part of plan.
• Maintain consistent medication timing around resident routine.
• Document refusals, omissions or unusual effects.</x:v>
      </x:c>
      <x:c r="D33" s="22" t="str">
        <x:v>At medication times as needed</x:v>
      </x:c>
      <x:c r="E33" s="22" t="str">
        <x:v>Nurse / medication-authorized staff per policy</x:v>
      </x:c>
      <x:c r="F33" s="22" t="str">
        <x:v>Repeated missed/refused doses, inability to self-administer correctly or adverse effect.</x:v>
      </x:c>
    </x:row>
    <x:row r="34">
      <x:c r="A34" s="22" t="str">
        <x:v>AS-07|2</x:v>
      </x:c>
      <x:c r="B34" s="22" t="str">
        <x:v>Ensure safe and consistent medication use with regular supervision or assistance. Monitor adherence, effects and possible side effects.</x:v>
      </x:c>
      <x:c r="C34" s="22" t="str">
        <x:v>• Provide regular medication supervision/assistance according to MAR/orders and scope.
• Check the right resident/medication/time/route per medication policy.
• Monitor for side effects, sedation, dizziness or behavior/cognition change.
• Report refusals, omissions, PRN patterns and concerns to nurse/provider.</x:v>
      </x:c>
      <x:c r="D34" s="22" t="str">
        <x:v>Each scheduled medication time</x:v>
      </x:c>
      <x:c r="E34" s="22" t="str">
        <x:v>Nurse / medication-authorized staff per policy</x:v>
      </x:c>
      <x:c r="F34" s="22" t="str">
        <x:v>Medication error, repeated refusal, adverse reaction, new swallowing issue or regimen complexity increase.</x:v>
      </x:c>
    </x:row>
    <x:row r="35">
      <x:c r="A35" s="22" t="str">
        <x:v>AS-07|3</x:v>
      </x:c>
      <x:c r="B35" s="22" t="str">
        <x:v>Maintain medication safety through structured administration support, close monitoring and coordination for a complex regimen or changing needs.</x:v>
      </x:c>
      <x:c r="C35" s="22" t="str">
        <x:v>• Use structured medication administration and reconciliation process for complex regimen.
• Coordinate time-critical medications, monitoring and meals as ordered.
• Track PRN use/response and high-risk side effects.
• Ensure changes after hospital/clinic visits are reconciled before implementation.</x:v>
      </x:c>
      <x:c r="D35" s="22" t="str">
        <x:v>Every administration; close review</x:v>
      </x:c>
      <x:c r="E35" s="22" t="str">
        <x:v>Nurse / medication-authorized staff per policy</x:v>
      </x:c>
      <x:c r="F35" s="22" t="str">
        <x:v>Suspected adverse drug event, reconciliation discrepancy, repeated PRN need or inability to manage safely.</x:v>
      </x:c>
    </x:row>
    <x:row r="36">
      <x:c r="A36" s="22" t="str">
        <x:v>AS-07|4</x:v>
      </x:c>
      <x:c r="B36" s="22" t="str">
        <x:v>Ensure medication safety through intensive support, close observation for therapeutic and adverse effects, and prompt coordination or escalation of concerns.</x:v>
      </x:c>
      <x:c r="C36" s="22" t="str">
        <x:v>• Provide intensive medication support within licensed/service capability.
• Maintain close observation for therapeutic response and serious adverse effects.
• Use explicit escalation pathway for missed critical doses, reactions or clinical instability.
• Coordinate promptly with prescriber/pharmacy/nurse for regimen issues.</x:v>
      </x:c>
      <x:c r="D36" s="22" t="str">
        <x:v>High-frequency / time-critical</x:v>
      </x:c>
      <x:c r="E36" s="22" t="str">
        <x:v>Nurse / medication-authorized staff per policy</x:v>
      </x:c>
      <x:c r="F36" s="22" t="str">
        <x:v>Need for IV/continuous infusion or medication management beyond facility scope; severe reaction/emergency.</x:v>
      </x:c>
    </x:row>
    <x:row r="37">
      <x:c r="A37" s="22" t="str">
        <x:v>AS-08|0</x:v>
      </x:c>
      <x:c r="B37" s="22" t="str">
        <x:v>Maintain independent eating and adequate nutrition and hydration while respecting food and beverage preferences.</x:v>
      </x:c>
      <x:c r="C37" s="22" t="str">
        <x:v>• Offer balanced meals and fluids while respecting resident preferences.
• Allow independent eating and preferred dining setting.
• Ensure water/beverages are accessible.
• Observe for unexpected weight or appetite change.</x:v>
      </x:c>
      <x:c r="D37" s="22" t="str">
        <x:v>Meals/snacks; routine observation</x:v>
      </x:c>
      <x:c r="E37" s="22" t="str">
        <x:v>Caregiver + nurse; dietitian/SLP as indicated</x:v>
      </x:c>
      <x:c r="F37" s="22" t="str">
        <x:v>Weight loss, poor intake, swallowing symptoms or dehydration signs.</x:v>
      </x:c>
    </x:row>
    <x:row r="38">
      <x:c r="A38" s="22" t="str">
        <x:v>AS-08|1</x:v>
      </x:c>
      <x:c r="B38" s="22" t="str">
        <x:v>Maintain adequate nutrition and hydration with minor setup, cueing or dietary support while encouraging independent intake.</x:v>
      </x:c>
      <x:c r="C38" s="22" t="str">
        <x:v>• Provide meal setup, packaging assistance or cueing as needed.
• Offer preferred fluids regularly and encourage adequate intake.
• Follow prescribed diet texture/diet modifications if present.
• Document persistent poor intake or new food difficulty.</x:v>
      </x:c>
      <x:c r="D38" s="22" t="str">
        <x:v>At meals; intermittent fluids</x:v>
      </x:c>
      <x:c r="E38" s="22" t="str">
        <x:v>Caregiver + nurse; dietitian/SLP as indicated</x:v>
      </x:c>
      <x:c r="F38" s="22" t="str">
        <x:v>Regular supplementation/monitoring becomes necessary, weight decline or swallowing concern.</x:v>
      </x:c>
    </x:row>
    <x:row r="39">
      <x:c r="A39" s="22" t="str">
        <x:v>AS-08|2</x:v>
      </x:c>
      <x:c r="B39" s="22" t="str">
        <x:v>Maintain adequate nutrition, hydration and healthy weight through regular meal support, intake monitoring and supplementation as indicated.</x:v>
      </x:c>
      <x:c r="C39" s="22" t="str">
        <x:v>• Monitor meal/fluid intake and weight at care-plan frequency.
• Provide regular meal assistance and prescribed nutritional supplements.
• Offer nutrient-dense preferred foods and fluids within diet orders.
• Escalate persistent low intake, weight loss, dehydration or glucose/meal mismatch.</x:v>
      </x:c>
      <x:c r="D39" s="22" t="str">
        <x:v>Each meal; weight per plan</x:v>
      </x:c>
      <x:c r="E39" s="22" t="str">
        <x:v>Caregiver + nurse; dietitian/SLP as indicated</x:v>
      </x:c>
      <x:c r="F39" s="22" t="str">
        <x:v>Ongoing weight loss, intake &lt; expected over repeated meals, dehydration or swallowing symptoms.</x:v>
      </x:c>
    </x:row>
    <x:row r="40">
      <x:c r="A40" s="22" t="str">
        <x:v>AS-08|3</x:v>
      </x:c>
      <x:c r="B40" s="22" t="str">
        <x:v>Improve or maintain nutritional and hydration status through frequent individualized support for intake, weight or swallowing concerns.</x:v>
      </x:c>
      <x:c r="C40" s="22" t="str">
        <x:v>• Provide frequent individualized feeding/intake support and close monitoring.
• Follow prescribed texture, positioning and swallowing precautions.
• Track weight/intake/hydration trends and tolerance to supplements.
• Coordinate clinical/dietitian/speech review for unresolved concerns.</x:v>
      </x:c>
      <x:c r="D40" s="22" t="str">
        <x:v>Frequent; every meal/snack</x:v>
      </x:c>
      <x:c r="E40" s="22" t="str">
        <x:v>Caregiver + nurse; dietitian/SLP as indicated</x:v>
      </x:c>
      <x:c r="F40" s="22" t="str">
        <x:v>Choking, aspiration signs, rapid weight loss, inability to maintain hydration or oral intake.</x:v>
      </x:c>
    </x:row>
    <x:row r="41">
      <x:c r="A41" s="22" t="str">
        <x:v>AS-08|4</x:v>
      </x:c>
      <x:c r="B41" s="22" t="str">
        <x:v>Maintain adequate nutrition, hydration, comfort and dignity through extensive feeding support and individualized management of significant ongoing nutritional needs.</x:v>
      </x:c>
      <x:c r="C41" s="22" t="str">
        <x:v>• Provide extensive feeding assistance while maintaining dignity and preferred pacing.
• Follow all swallowing, texture, positioning and oral-care instructions.
• Monitor tolerance, hydration, weight and signs of aspiration closely.
• Escalate when oral intake cannot safely/adequately meet needs or care exceeds capability.</x:v>
      </x:c>
      <x:c r="D41" s="22" t="str">
        <x:v>Every intake episode; high-frequency</x:v>
      </x:c>
      <x:c r="E41" s="22" t="str">
        <x:v>Caregiver + nurse; dietitian/SLP as indicated</x:v>
      </x:c>
      <x:c r="F41" s="22" t="str">
        <x:v>Recurrent aspiration/choking, inability to hydrate/nourish orally or enteral-feeding needs beyond scope.</x:v>
      </x:c>
    </x:row>
    <x:row r="42">
      <x:c r="A42" s="22" t="str">
        <x:v>AS-09|0</x:v>
      </x:c>
      <x:c r="B42" s="22" t="str">
        <x:v>Maintain effective independent communication and participation in decisions using the resident’s preferred communication method.</x:v>
      </x:c>
      <x:c r="C42" s="22" t="str">
        <x:v>• Communicate directly with resident using preferred language/method.
• Ensure normal access to glasses/hearing aids.
• Include resident in care discussions and decisions.
• Observe for new hearing, vision, speech or comprehension changes.</x:v>
      </x:c>
      <x:c r="D42" s="22" t="str">
        <x:v>Routine</x:v>
      </x:c>
      <x:c r="E42" s="22" t="str">
        <x:v>Caregiver; SLP/audiology/vision support as indicated</x:v>
      </x:c>
      <x:c r="F42" s="22" t="str">
        <x:v>New sensory loss, communication breakdown or acute neurologic change.</x:v>
      </x:c>
    </x:row>
    <x:row r="43">
      <x:c r="A43" s="22" t="str">
        <x:v>AS-09|1</x:v>
      </x:c>
      <x:c r="B43" s="22" t="str">
        <x:v>Support effective communication through occasional cueing, environmental adjustment or use of preferred sensory aids.</x:v>
      </x:c>
      <x:c r="C43" s="22" t="str">
        <x:v>• Reduce background noise and face resident when speaking.
• Provide occasional repetition, written cue or visual prompt.
• Check that glasses/hearing aids are in place before care instructions.
• Allow extra response time.</x:v>
      </x:c>
      <x:c r="D43" s="22" t="str">
        <x:v>As needed</x:v>
      </x:c>
      <x:c r="E43" s="22" t="str">
        <x:v>Caregiver; SLP/audiology/vision support as indicated</x:v>
      </x:c>
      <x:c r="F43" s="22" t="str">
        <x:v>Regular communication support needed or resident cannot express needs reliably.</x:v>
      </x:c>
    </x:row>
    <x:row r="44">
      <x:c r="A44" s="22" t="str">
        <x:v>AS-09|2</x:v>
      </x:c>
      <x:c r="B44" s="22" t="str">
        <x:v>Promote understanding and expression through regular communication support, sensory aids and appropriate adaptation of the environment.</x:v>
      </x:c>
      <x:c r="C44" s="22" t="str">
        <x:v>• Use consistent communication aids/strategies across staff.
• Present information in short phrases and confirm understanding.
• Ensure sensory devices are maintained and available.
• Document effective communication methods and resident preferences.</x:v>
      </x:c>
      <x:c r="D44" s="22" t="str">
        <x:v>Regular throughout care</x:v>
      </x:c>
      <x:c r="E44" s="22" t="str">
        <x:v>Caregiver; SLP/audiology/vision support as indicated</x:v>
      </x:c>
      <x:c r="F44" s="22" t="str">
        <x:v>Frequent inability to express basic needs, aspiration/speech changes or communication failure affecting safety.</x:v>
      </x:c>
    </x:row>
    <x:row r="45">
      <x:c r="A45" s="22" t="str">
        <x:v>AS-09|3</x:v>
      </x:c>
      <x:c r="B45" s="22" t="str">
        <x:v>Maintain meaningful communication through frequent individualized approaches, simplified information and appropriate sensory support.</x:v>
      </x:c>
      <x:c r="C45" s="22" t="str">
        <x:v>• Use individualized communication plan during most interactions.
• Anticipate needs and confirm through gestures, behavior and context.
• Limit questions to one concept at a time and use visual/tactile cues as appropriate.
• Coordinate speech/hearing/vision evaluation when indicated.</x:v>
      </x:c>
      <x:c r="D45" s="22" t="str">
        <x:v>Frequent / most interactions</x:v>
      </x:c>
      <x:c r="E45" s="22" t="str">
        <x:v>Caregiver; SLP/audiology/vision support as indicated</x:v>
      </x:c>
      <x:c r="F45" s="22" t="str">
        <x:v>Resident cannot communicate pain/basic needs reliably or sudden speech change.</x:v>
      </x:c>
    </x:row>
    <x:row r="46">
      <x:c r="A46" s="22" t="str">
        <x:v>AS-09|4</x:v>
      </x:c>
      <x:c r="B46" s="22" t="str">
        <x:v>Maintain connection, comfort and ability to express basic needs through consistent individualized communication strategies and interpretation of verbal and non-verbal cues.</x:v>
      </x:c>
      <x:c r="C46" s="22" t="str">
        <x:v>• Use consistent individualized verbal and non-verbal communication at all care encounters.
• Interpret behavior/non-verbal cues for pain, fear, hunger, toileting and comfort.
• Offer simple choices using objects, pictures or gestures.
• Share successful signals/cues across all caregivers.</x:v>
      </x:c>
      <x:c r="D46" s="22" t="str">
        <x:v>Continuous across care day</x:v>
      </x:c>
      <x:c r="E46" s="22" t="str">
        <x:v>Caregiver; SLP/audiology/vision support as indicated</x:v>
      </x:c>
      <x:c r="F46" s="22" t="str">
        <x:v>New unresponsiveness, acute neurologic change or inability to meet needs safely.</x:v>
      </x:c>
    </x:row>
    <x:row r="47">
      <x:c r="A47" s="22" t="str">
        <x:v>AS-10|0</x:v>
      </x:c>
      <x:c r="B47" s="22" t="str">
        <x:v>Maintain independent toileting and continence routines while respecting privacy and personal preferences.</x:v>
      </x:c>
      <x:c r="C47" s="22" t="str">
        <x:v>• Allow independent toileting and privacy.
• Keep bathroom route clear and supplies accessible.
• Respect usual toileting schedule and hygiene products.
• Observe for new urgency, accidents, constipation or urinary symptoms.</x:v>
      </x:c>
      <x:c r="D47" s="22" t="str">
        <x:v>Routine</x:v>
      </x:c>
      <x:c r="E47" s="22" t="str">
        <x:v>Caregiver + nurse</x:v>
      </x:c>
      <x:c r="F47" s="22" t="str">
        <x:v>New incontinence, urinary symptoms, constipation or need for assistance.</x:v>
      </x:c>
    </x:row>
    <x:row r="48">
      <x:c r="A48" s="22" t="str">
        <x:v>AS-10|1</x:v>
      </x:c>
      <x:c r="B48" s="22" t="str">
        <x:v>Maintain independence with toileting through occasional cueing or setup while preserving privacy and dignity.</x:v>
      </x:c>
      <x:c r="C48" s="22" t="str">
        <x:v>• Provide occasional reminders, setup or standby assistance for toileting.
• Ensure clothing/continence supplies are easy to manage.
• Prompt before outings/bedtime if consistent with preference.
• Document new accidents or increasing cueing need.</x:v>
      </x:c>
      <x:c r="D48" s="22" t="str">
        <x:v>Occasional / as needed</x:v>
      </x:c>
      <x:c r="E48" s="22" t="str">
        <x:v>Caregiver + nurse</x:v>
      </x:c>
      <x:c r="F48" s="22" t="str">
        <x:v>Regular toileting assistance, repeated accidents or skin irritation.</x:v>
      </x:c>
    </x:row>
    <x:row r="49">
      <x:c r="A49" s="22" t="str">
        <x:v>AS-10|2</x:v>
      </x:c>
      <x:c r="B49" s="22" t="str">
        <x:v>Support regular toileting while maintaining dignity and independence. Provide assistance as needed and monitor continence and skin integrity.</x:v>
      </x:c>
      <x:c r="C49" s="22" t="str">
        <x:v>• Provide regular toileting assistance or continence care on individualized schedule.
• Assist with clothing, transfer, cleansing and product change as needed.
• Monitor continence pattern, urine/stool changes and skin condition.
• Encourage fluids and bowel routine consistent with clinical plan.</x:v>
      </x:c>
      <x:c r="D49" s="22" t="str">
        <x:v>Regular / scheduled and as needed</x:v>
      </x:c>
      <x:c r="E49" s="22" t="str">
        <x:v>Caregiver + nurse</x:v>
      </x:c>
      <x:c r="F49" s="22" t="str">
        <x:v>Frequent diaper care workload, skin breakdown, retention, recurrent UTI or constipation.</x:v>
      </x:c>
    </x:row>
    <x:row r="50">
      <x:c r="A50" s="22" t="str">
        <x:v>AS-10|3</x:v>
      </x:c>
      <x:c r="B50" s="22" t="str">
        <x:v>Maintain comfort, hygiene and skin integrity through frequent hands-on toileting or continence care while encouraging participation as able.</x:v>
      </x:c>
      <x:c r="C50" s="22" t="str">
        <x:v>• Provide frequent hands-on toileting/diaper care and prompt hygiene.
• Use proactive toileting schedule to reduce urgency and unsafe rushing.
• Apply skin barrier/protective care as ordered/policy.
• Track bowel pattern and escalate unresolved constipation/diarrhea.</x:v>
      </x:c>
      <x:c r="D50" s="22" t="str">
        <x:v>Frequent / multiple episodes daily</x:v>
      </x:c>
      <x:c r="E50" s="22" t="str">
        <x:v>Caregiver + nurse</x:v>
      </x:c>
      <x:c r="F50" s="22" t="str">
        <x:v>Skin injury, blood in urine/stool, inability to toilet safely or very high-frequency care.</x:v>
      </x:c>
    </x:row>
    <x:row r="51">
      <x:c r="A51" s="22" t="str">
        <x:v>AS-10|4</x:v>
      </x:c>
      <x:c r="B51" s="22" t="str">
        <x:v>Maintain comfort, dignity, hygiene and skin integrity through comprehensive high-frequency toileting and continence care.</x:v>
      </x:c>
      <x:c r="C51" s="22" t="str">
        <x:v>• Provide near-total continence/toileting assistance with high-frequency checks.
• Change soiled products promptly and provide thorough gentle skin care.
• Use safe transfer/repositioning plan for all toileting care.
• Maintain dignity, privacy and comfort at each episode.</x:v>
      </x:c>
      <x:c r="D51" s="22" t="str">
        <x:v>High-frequency / comprehensive</x:v>
      </x:c>
      <x:c r="E51" s="22" t="str">
        <x:v>Caregiver + nurse</x:v>
      </x:c>
      <x:c r="F51" s="22" t="str">
        <x:v>Recurrent skin breakdown, retention, GI/GU bleeding or care exceeds service capability.</x:v>
      </x:c>
    </x:row>
    <x:row r="52">
      <x:c r="A52" s="22" t="str">
        <x:v>AS-11|0</x:v>
      </x:c>
      <x:c r="B52" s="22" t="str">
        <x:v>Maintain healthy, intact skin through routine hygiene, mobility, nutrition and skin care.</x:v>
      </x:c>
      <x:c r="C52" s="22" t="str">
        <x:v>• Perform routine skin observation during bathing/dressing.
• Maintain normal hygiene, moisturization and mobility.
• Keep skin clean and dry.
• Report new redness, rash, wound or bruising.</x:v>
      </x:c>
      <x:c r="D52" s="22" t="str">
        <x:v>Routine personal care</x:v>
      </x:c>
      <x:c r="E52" s="22" t="str">
        <x:v>Nurse-led; caregiver prevention/observation</x:v>
      </x:c>
      <x:c r="F52" s="22" t="str">
        <x:v>Non-blanching redness, open area, infection signs or unexplained bruising.</x:v>
      </x:c>
    </x:row>
    <x:row r="53">
      <x:c r="A53" s="22" t="str">
        <x:v>AS-11|1</x:v>
      </x:c>
      <x:c r="B53" s="22" t="str">
        <x:v>Maintain intact skin through preventive measures and monitoring of identified skin-risk factors.</x:v>
      </x:c>
      <x:c r="C53" s="22" t="str">
        <x:v>• Inspect identified risk areas regularly.
• Use preventive off-loading/position changes as indicated.
• Manage moisture promptly and protect fragile skin.
• Document any persistent redness or skin change.</x:v>
      </x:c>
      <x:c r="D53" s="22" t="str">
        <x:v>Daily / per risk plan</x:v>
      </x:c>
      <x:c r="E53" s="22" t="str">
        <x:v>Nurse-led; caregiver prevention/observation</x:v>
      </x:c>
      <x:c r="F53" s="22" t="str">
        <x:v>Persistent redness, blister/open area or increasing pressure/moisture exposure.</x:v>
      </x:c>
    </x:row>
    <x:row r="54">
      <x:c r="A54" s="22" t="str">
        <x:v>AS-11|2</x:v>
      </x:c>
      <x:c r="B54" s="22" t="str">
        <x:v>Protect skin integrity and promote healing through regular skin care, pressure prevention and monitoring of affected or vulnerable areas.</x:v>
      </x:c>
      <x:c r="C54" s="22" t="str">
        <x:v>• Provide regular skin/wound care according to written orders.
• Implement pressure prevention and repositioning schedule.
• Track wound/skin appearance and report deterioration.
• Support nutrition/hydration relevant to skin healing.</x:v>
      </x:c>
      <x:c r="D54" s="22" t="str">
        <x:v>Regular / ordered schedule</x:v>
      </x:c>
      <x:c r="E54" s="22" t="str">
        <x:v>Nurse-led; caregiver prevention/observation</x:v>
      </x:c>
      <x:c r="F54" s="22" t="str">
        <x:v>Wound enlargement, drainage/odor, fever, worsening pain or new pressure injury.</x:v>
      </x:c>
    </x:row>
    <x:row r="55">
      <x:c r="A55" s="22" t="str">
        <x:v>AS-11|3</x:v>
      </x:c>
      <x:c r="B55" s="22" t="str">
        <x:v>Promote healing and prevent further skin breakdown through frequent individualized skin or wound care and pressure-management measures.</x:v>
      </x:c>
      <x:c r="C55" s="22" t="str">
        <x:v>• Provide frequent individualized wound/skin care and pressure management.
• Reposition/off-load at prescribed frequency and document completion.
• Monitor drainage, odor, surrounding skin, pain and systemic symptoms.
• Coordinate wound-clinician/medical review.</x:v>
      </x:c>
      <x:c r="D55" s="22" t="str">
        <x:v>Frequent / multiple times daily as ordered</x:v>
      </x:c>
      <x:c r="E55" s="22" t="str">
        <x:v>Nurse-led; caregiver prevention/observation</x:v>
      </x:c>
      <x:c r="F55" s="22" t="str">
        <x:v>Rapid deterioration, spreading infection, necrosis or wound needs beyond capability.</x:v>
      </x:c>
    </x:row>
    <x:row r="56">
      <x:c r="A56" s="22" t="str">
        <x:v>AS-11|4</x:v>
      </x:c>
      <x:c r="B56" s="22" t="str">
        <x:v>Maintain healing, comfort and prevention of further deterioration through intensive individualized skin/wound management and coordinated clinical care.</x:v>
      </x:c>
      <x:c r="C56" s="22" t="str">
        <x:v>• Provide intensive skin/wound management within service scope.
• Use strict pressure-relief, positioning and moisture-control plan.
• Maintain comfort/pain observation during care.
• Coordinate urgent review when healing is poor or systemic signs appear.</x:v>
      </x:c>
      <x:c r="D56" s="22" t="str">
        <x:v>High-frequency / intensive</x:v>
      </x:c>
      <x:c r="E56" s="22" t="str">
        <x:v>Nurse-led; caregiver prevention/observation</x:v>
      </x:c>
      <x:c r="F56" s="22" t="str">
        <x:v>Suspected deep infection/sepsis, uncontrolled pain or advanced wound care beyond capability.</x:v>
      </x:c>
    </x:row>
    <x:row r="57">
      <x:c r="A57" s="22" t="str">
        <x:v>AS-12|0</x:v>
      </x:c>
      <x:c r="B57" s="22" t="str">
        <x:v>Maintain the resident’s preferred sleep and daily routine with minimal staff intervention.</x:v>
      </x:c>
      <x:c r="C57" s="22" t="str">
        <x:v>• Respect resident’s preferred bedtime, wake time and sleep environment.
• Minimize unnecessary nighttime interruptions.
• Support usual bedtime routine and comfort items.
• Observe for new sleep disruption or daytime somnolence.</x:v>
      </x:c>
      <x:c r="D57" s="22" t="str">
        <x:v>Nightly / routine</x:v>
      </x:c>
      <x:c r="E57" s="22" t="str">
        <x:v>Caregiver + nurse if persistent change</x:v>
      </x:c>
      <x:c r="F57" s="22" t="str">
        <x:v>Persistent insomnia, nighttime confusion, unsafe wandering or daytime impairment.</x:v>
      </x:c>
    </x:row>
    <x:row r="58">
      <x:c r="A58" s="22" t="str">
        <x:v>AS-12|1</x:v>
      </x:c>
      <x:c r="B58" s="22" t="str">
        <x:v>Maintain a comfortable sleep routine with occasional reassurance or cueing while respecting preferred bedtime and waking habits.</x:v>
      </x:c>
      <x:c r="C58" s="22" t="str">
        <x:v>• Provide occasional reassurance, cueing or comfort at night.
• Offer toileting or repositioning when requested/indicated.
• Use low-stimulation approach during nighttime awakenings.
• Document recurring pattern if support becomes frequent.</x:v>
      </x:c>
      <x:c r="D58" s="22" t="str">
        <x:v>Occasional nights / as needed</x:v>
      </x:c>
      <x:c r="E58" s="22" t="str">
        <x:v>Caregiver + nurse if persistent change</x:v>
      </x:c>
      <x:c r="F58" s="22" t="str">
        <x:v>Night support becomes regular, repeated falls risk or day/night reversal.</x:v>
      </x:c>
    </x:row>
    <x:row r="59">
      <x:c r="A59" s="22" t="str">
        <x:v>AS-12|2</x:v>
      </x:c>
      <x:c r="B59" s="22" t="str">
        <x:v>Promote restful sleep and a consistent daily routine through regular individualized nighttime or routine support.</x:v>
      </x:c>
      <x:c r="C59" s="22" t="str">
        <x:v>• Implement consistent bedtime routine and regular nighttime supports.
• Provide scheduled toileting/repositioning if care plan indicates.
• Reduce evening stimulation and support daytime activity/light exposure.
• Track sleep pattern and effectiveness of interventions.</x:v>
      </x:c>
      <x:c r="D59" s="22" t="str">
        <x:v>Regular nightly</x:v>
      </x:c>
      <x:c r="E59" s="22" t="str">
        <x:v>Caregiver + nurse if persistent change</x:v>
      </x:c>
      <x:c r="F59" s="22" t="str">
        <x:v>Frequent awakenings despite plan, agitation, unsafe wandering or marked daytime decline.</x:v>
      </x:c>
    </x:row>
    <x:row r="60">
      <x:c r="A60" s="22" t="str">
        <x:v>AS-12|3</x:v>
      </x:c>
      <x:c r="B60" s="22" t="str">
        <x:v>Improve sleep, comfort and day/night routine through frequent individualized interventions while minimizing unnecessary disruption.</x:v>
      </x:c>
      <x:c r="C60" s="22" t="str">
        <x:v>• Provide frequent individualized interventions for sleep disruption.
• Use structured day/night schedule and consistent staff approach.
• Assess common causes of waking: pain, toileting, hunger, anxiety, environment.
• Coordinate clinical review for persistent change.</x:v>
      </x:c>
      <x:c r="D60" s="22" t="str">
        <x:v>Frequent each night / day</x:v>
      </x:c>
      <x:c r="E60" s="22" t="str">
        <x:v>Caregiver + nurse if persistent change</x:v>
      </x:c>
      <x:c r="F60" s="22" t="str">
        <x:v>Persistent severe disruption, delirium, recurrent nighttime falls or care burden escalation.</x:v>
      </x:c>
    </x:row>
    <x:row r="61">
      <x:c r="A61" s="22" t="str">
        <x:v>AS-12|4</x:v>
      </x:c>
      <x:c r="B61" s="22" t="str">
        <x:v>Promote comfort and the most stable day/night pattern achievable through intensive individualized support based on the resident’s established preferences and responses.</x:v>
      </x:c>
      <x:c r="C61" s="22" t="str">
        <x:v>• Provide intensive individualized day/night support while prioritizing comfort.
• Maintain close supervision during unsafe nighttime activity.
• Use non-pharmacologic calming and familiar routines first where appropriate.
• Escalate sudden severe sleep/wake change as possible acute illness/delirium.</x:v>
      </x:c>
      <x:c r="D61" s="22" t="str">
        <x:v>High-frequency / persistent</x:v>
      </x:c>
      <x:c r="E61" s="22" t="str">
        <x:v>Caregiver + nurse if persistent change</x:v>
      </x:c>
      <x:c r="F61" s="22" t="str">
        <x:v>Inability to maintain safety, acute delirium or need for one-to-one support beyond capability.</x:v>
      </x:c>
    </x:row>
    <x:row r="62">
      <x:c r="A62" s="22" t="str">
        <x:v>AS-13|0</x:v>
      </x:c>
      <x:c r="B62" s="22" t="str">
        <x:v>Maintain independent and safe participation in daily life with routine environmental safety measures.</x:v>
      </x:c>
      <x:c r="C62" s="22" t="str">
        <x:v>• Maintain routine environmental safety checks.
• Keep emergency/call systems accessible.
• Respect resident’s normal independence and privacy.
• Document any new safety event or unsafe judgment.</x:v>
      </x:c>
      <x:c r="D62" s="22" t="str">
        <x:v>Routine</x:v>
      </x:c>
      <x:c r="E62" s="22" t="str">
        <x:v>Caregiver + nurse / administrator per risk plan</x:v>
      </x:c>
      <x:c r="F62" s="22" t="str">
        <x:v>New unsafe behavior, wandering, fire risk or inability to seek help.</x:v>
      </x:c>
    </x:row>
    <x:row r="63">
      <x:c r="A63" s="22" t="str">
        <x:v>AS-13|1</x:v>
      </x:c>
      <x:c r="B63" s="22" t="str">
        <x:v>Maintain independence with occasional safety reminders, reassurance or supervision as needed.</x:v>
      </x:c>
      <x:c r="C63" s="22" t="str">
        <x:v>• Provide occasional reminders about identified safety risks.
• Check that commonly used equipment is used correctly.
• Offer standby supervision for unfamiliar/high-risk situations.
• Document repeated unsafe choices.</x:v>
      </x:c>
      <x:c r="D63" s="22" t="str">
        <x:v>Occasional / situational</x:v>
      </x:c>
      <x:c r="E63" s="22" t="str">
        <x:v>Caregiver + nurse / administrator per risk plan</x:v>
      </x:c>
      <x:c r="F63" s="22" t="str">
        <x:v>Regular supervision becomes necessary or unsafe judgment increases.</x:v>
      </x:c>
    </x:row>
    <x:row r="64">
      <x:c r="A64" s="22" t="str">
        <x:v>AS-13|2</x:v>
      </x:c>
      <x:c r="B64" s="22" t="str">
        <x:v>Maintain safety through regular supervision and individualized precautions for identified risks while preserving freedom and independence.</x:v>
      </x:c>
      <x:c r="C64" s="22" t="str">
        <x:v>• Provide regular supervision and individualized safety precautions.
• Use predictable routine/environment to reduce risk.
• Supervise identified high-risk activities and exits as care plan requires.
• Communicate current risks and effective precautions at handoff.</x:v>
      </x:c>
      <x:c r="D64" s="22" t="str">
        <x:v>Regular throughout day</x:v>
      </x:c>
      <x:c r="E64" s="22" t="str">
        <x:v>Caregiver + nurse / administrator per risk plan</x:v>
      </x:c>
      <x:c r="F64" s="22" t="str">
        <x:v>Exit-seeking, repeated unsafe acts, injury or frequent redirection need.</x:v>
      </x:c>
    </x:row>
    <x:row r="65">
      <x:c r="A65" s="22" t="str">
        <x:v>AS-13|3</x:v>
      </x:c>
      <x:c r="B65" s="22" t="str">
        <x:v>Prevent injury through frequent supervision, redirection and individualized safety measures while using the least restrictive approach.</x:v>
      </x:c>
      <x:c r="C65" s="22" t="str">
        <x:v>• Provide frequent supervision/redirection during waking hours or identified periods.
• Use least restrictive environmental controls allowed by policy.
• Offer purposeful activity to reduce unsafe wandering/impulsivity.
• Maintain rapid response plan for elopement or serious safety event.</x:v>
      </x:c>
      <x:c r="D65" s="22" t="str">
        <x:v>Frequent / high-risk periods</x:v>
      </x:c>
      <x:c r="E65" s="22" t="str">
        <x:v>Caregiver + nurse / administrator per risk plan</x:v>
      </x:c>
      <x:c r="F65" s="22" t="str">
        <x:v>Near-elopement, recurrent injury risk or need for continuous observation.</x:v>
      </x:c>
    </x:row>
    <x:row r="66">
      <x:c r="A66" s="22" t="str">
        <x:v>AS-13|4</x:v>
      </x:c>
      <x:c r="B66" s="22" t="str">
        <x:v>Maintain safety through intensive individualized supervision and risk management while preserving dignity, meaningful activity and the least restrictive environment possible.</x:v>
      </x:c>
      <x:c r="C66" s="22" t="str">
        <x:v>• Provide intensive individualized supervision and risk management.
• Maintain team-wide safety plan with known triggers, routes and response steps.
• Use least restrictive measures and preserve meaningful movement/activity.
• Escalate when resident cannot be kept safe within current environment/staffing.</x:v>
      </x:c>
      <x:c r="D66" s="22" t="str">
        <x:v>Very frequent / near-continuous</x:v>
      </x:c>
      <x:c r="E66" s="22" t="str">
        <x:v>Caregiver + nurse / administrator per risk plan</x:v>
      </x:c>
      <x:c r="F66" s="22" t="str">
        <x:v>Actual elopement, repeated dangerous behavior or need beyond service capability.</x:v>
      </x:c>
    </x:row>
    <x:row r="67">
      <x:c r="A67" s="22" t="str">
        <x:v>AS-14|0</x:v>
      </x:c>
      <x:c r="B67" s="22" t="str">
        <x:v>Maintain current function and independence through normal daily activity; no active therapy carryover is required.</x:v>
      </x:c>
      <x:c r="C67" s="22" t="str">
        <x:v>• Encourage normal daily activity and self-directed mobility.
• Allow resident to perform functional tasks independently.
• Observe for decline in endurance, strength or function.
• Refer for reassessment if function changes.</x:v>
      </x:c>
      <x:c r="D67" s="22" t="str">
        <x:v>Routine</x:v>
      </x:c>
      <x:c r="E67" s="22" t="str">
        <x:v>Caregiver carryover + PT/OT/ST as prescribed</x:v>
      </x:c>
      <x:c r="F67" s="22" t="str">
        <x:v>New functional decline, pain or new therapy recommendation.</x:v>
      </x:c>
    </x:row>
    <x:row r="68">
      <x:c r="A68" s="22" t="str">
        <x:v>AS-14|1</x:v>
      </x:c>
      <x:c r="B68" s="22" t="str">
        <x:v>Maintain mobility, strength and independence through regular activity and simple exercise encouragement or home-program support.</x:v>
      </x:c>
      <x:c r="C68" s="22" t="str">
        <x:v>• Encourage prescribed/simple home exercise or walking program.
• Prompt participation in functional tasks rather than doing them for the resident.
• Record tolerance and reasons for missed activity when relevant.
• Use rest breaks and preferred activity times.</x:v>
      </x:c>
      <x:c r="D68" s="22" t="str">
        <x:v>Daily / several times weekly per plan</x:v>
      </x:c>
      <x:c r="E68" s="22" t="str">
        <x:v>Caregiver carryover + PT/OT/ST as prescribed</x:v>
      </x:c>
      <x:c r="F68" s="22" t="str">
        <x:v>Pain, dizziness, reduced tolerance or need for formal therapy coordination.</x:v>
      </x:c>
    </x:row>
    <x:row r="69">
      <x:c r="A69" s="22" t="str">
        <x:v>AS-14|2</x:v>
      </x:c>
      <x:c r="B69" s="22" t="str">
        <x:v>Improve or maintain function through regular staff carryover of the therapy plan and coordination with therapy providers.</x:v>
      </x:c>
      <x:c r="C69" s="22" t="str">
        <x:v>• Carry over therapist-prescribed exercises/techniques during daily care.
• Use therapy-recommended transfer, dressing or mobility strategies.
• Document completion/tolerance and barriers.
• Coordinate schedule/progress updates with PT/OT/ST.</x:v>
      </x:c>
      <x:c r="D69" s="22" t="str">
        <x:v>Regular per therapy plan</x:v>
      </x:c>
      <x:c r="E69" s="22" t="str">
        <x:v>Caregiver carryover + PT/OT/ST as prescribed</x:v>
      </x:c>
      <x:c r="F69" s="22" t="str">
        <x:v>Functional decline, inability to perform program safely or therapy plan changes.</x:v>
      </x:c>
    </x:row>
    <x:row r="70">
      <x:c r="A70" s="22" t="str">
        <x:v>AS-14|3</x:v>
      </x:c>
      <x:c r="B70" s="22" t="str">
        <x:v>Maximize functional potential through frequent structured therapy carryover, staff assistance and ongoing coordination with the therapy team.</x:v>
      </x:c>
      <x:c r="C70" s="22" t="str">
        <x:v>• Provide frequent structured therapy carryover integrated into multiple daily routines.
• Coordinate goals and technique across caregiving, nursing and therapy.
• Track measurable functional response/tolerance.
• Adjust daily workload/rest based on therapy guidance.</x:v>
      </x:c>
      <x:c r="D70" s="22" t="str">
        <x:v>Frequent / multiple daily care episodes</x:v>
      </x:c>
      <x:c r="E70" s="22" t="str">
        <x:v>Caregiver carryover + PT/OT/ST as prescribed</x:v>
      </x:c>
      <x:c r="F70" s="22" t="str">
        <x:v>Rapid decline, pain/injury, inability to tolerate program or need for higher rehab level.</x:v>
      </x:c>
    </x:row>
    <x:row r="71">
      <x:c r="A71" s="22" t="str">
        <x:v>AS-14|4</x:v>
      </x:c>
      <x:c r="B71" s="22" t="str">
        <x:v>Maximize achievable function, comfort and participation through intensive multidisciplinary reablement support integrated into daily care.</x:v>
      </x:c>
      <x:c r="C71" s="22" t="str">
        <x:v>• Integrate intensive multidisciplinary reablement support into daily care within capability.
• Use consistent PT/OT/ST-approved techniques across shifts.
• Balance restorative goals with fatigue, safety and comfort.
• Hold/escalate exercises when clinical status changes.</x:v>
      </x:c>
      <x:c r="D71" s="22" t="str">
        <x:v>High-frequency / multidisciplinary</x:v>
      </x:c>
      <x:c r="E71" s="22" t="str">
        <x:v>Caregiver carryover + PT/OT/ST as prescribed</x:v>
      </x:c>
      <x:c r="F71" s="22" t="str">
        <x:v>Clinical instability, unsafe therapy needs or rehab intensity beyond assisted-living capability.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2" hidden="0" customWidth="1"/>
    <x:col min="3" max="3" width="8" hidden="0" customWidth="1"/>
    <x:col min="4" max="4" width="50" hidden="0" customWidth="1"/>
    <x:col min="5" max="5" width="62" hidden="0" customWidth="1"/>
    <x:col min="6" max="6" width="28" hidden="0" customWidth="1"/>
    <x:col min="7" max="7" width="34" hidden="0" customWidth="1"/>
    <x:col min="8" max="8" width="55" hidden="0" customWidth="1"/>
    <x:col min="9" max="9" width="30" hidden="0" customWidth="1"/>
    <x:col min="10" max="10" width="55" hidden="0" customWidth="1"/>
    <x:col min="11" max="11" width="14" hidden="0" customWidth="1"/>
    <x:col min="12" max="12" width="12" hidden="0" customWidth="1"/>
  </x:cols>
  <x:sheetData>
    <x:row r="1" ht="30" customHeight="1">
      <x:c r="A1" s="35" t="str">
        <x:v>Resident Care Plan Builder — select Domain Code + Score to pull the default goal/task bundle</x:v>
      </x:c>
      <x:c r="B1" s="35"/>
      <x:c r="C1" s="35"/>
      <x:c r="D1" s="35"/>
      <x:c r="E1" s="35"/>
      <x:c r="F1" s="35"/>
      <x:c r="G1" s="35"/>
      <x:c r="H1" s="35"/>
      <x:c r="I1" s="35"/>
      <x:c r="J1" s="35"/>
      <x:c r="K1" s="35"/>
      <x:c r="L1" s="35"/>
    </x:row>
    <x:row r="2" ht="34" customHeight="1">
      <x:c r="A2" s="40" t="str">
        <x:v>Resident</x:v>
      </x:c>
      <x:c r="B2" s="40" t="str">
        <x:v>Domain Code</x:v>
      </x:c>
      <x:c r="C2" s="40" t="str">
        <x:v>Score</x:v>
      </x:c>
      <x:c r="D2" s="40" t="str">
        <x:v>Default Goal / Preference</x:v>
      </x:c>
      <x:c r="E2" s="40" t="str">
        <x:v>Core Task Bundle (edit/select)</x:v>
      </x:c>
      <x:c r="F2" s="40" t="str">
        <x:v>Frequency / Trigger</x:v>
      </x:c>
      <x:c r="G2" s="40" t="str">
        <x:v>Typical Owner</x:v>
      </x:c>
      <x:c r="H2" s="40" t="str">
        <x:v>Escalation Trigger</x:v>
      </x:c>
      <x:c r="I2" s="40" t="str">
        <x:v>Condition / Risk Add-On</x:v>
      </x:c>
      <x:c r="J2" s="40" t="str">
        <x:v>Resident-Specific Preference / Instructions</x:v>
      </x:c>
      <x:c r="K2" s="40" t="str">
        <x:v>Review Date</x:v>
      </x:c>
      <x:c r="L2" s="40" t="str">
        <x:v>Status</x:v>
      </x:c>
    </x:row>
    <x:row r="3" ht="72" customHeight="1">
      <x:c r="A3" s="22" t="str"/>
      <x:c r="B3" s="22" t="str"/>
      <x:c r="C3" s="22" t="str"/>
      <x:c r="D3" s="22" t="str">
        <x:f>IFERROR(VLOOKUP(B3&amp;"|"&amp;C3,'_Lookup'!$A$2:$F$71,2,FALSE),"")</x:f>
      </x:c>
      <x:c r="E3" s="22" t="str">
        <x:f>IFERROR(VLOOKUP(B3&amp;"|"&amp;C3,'_Lookup'!$A$2:$F$71,3,FALSE),"")</x:f>
      </x:c>
      <x:c r="F3" s="22" t="str">
        <x:f>IFERROR(VLOOKUP(B3&amp;"|"&amp;C3,'_Lookup'!$A$2:$F$71,4,FALSE),"")</x:f>
      </x:c>
      <x:c r="G3" s="22" t="str">
        <x:f>IFERROR(VLOOKUP(B3&amp;"|"&amp;C3,'_Lookup'!$A$2:$F$71,5,FALSE),"")</x:f>
      </x:c>
      <x:c r="H3" s="22" t="str">
        <x:f>IFERROR(VLOOKUP(B3&amp;"|"&amp;C3,'_Lookup'!$A$2:$F$71,6,FALSE),"")</x:f>
      </x:c>
      <x:c r="I3" s="22" t="str"/>
      <x:c r="J3" s="22" t="str"/>
      <x:c r="K3" s="44" t="str"/>
      <x:c r="L3" s="22" t="str"/>
    </x:row>
    <x:row r="4" ht="72" customHeight="1">
      <x:c r="A4" s="22" t="str"/>
      <x:c r="B4" s="22" t="str"/>
      <x:c r="C4" s="22" t="str"/>
      <x:c r="D4" s="22" t="str">
        <x:f>IFERROR(VLOOKUP(B4&amp;"|"&amp;C4,'_Lookup'!$A$2:$F$71,2,FALSE),"")</x:f>
      </x:c>
      <x:c r="E4" s="22" t="str">
        <x:f>IFERROR(VLOOKUP(B4&amp;"|"&amp;C4,'_Lookup'!$A$2:$F$71,3,FALSE),"")</x:f>
      </x:c>
      <x:c r="F4" s="22" t="str">
        <x:f>IFERROR(VLOOKUP(B4&amp;"|"&amp;C4,'_Lookup'!$A$2:$F$71,4,FALSE),"")</x:f>
      </x:c>
      <x:c r="G4" s="22" t="str">
        <x:f>IFERROR(VLOOKUP(B4&amp;"|"&amp;C4,'_Lookup'!$A$2:$F$71,5,FALSE),"")</x:f>
      </x:c>
      <x:c r="H4" s="22" t="str">
        <x:f>IFERROR(VLOOKUP(B4&amp;"|"&amp;C4,'_Lookup'!$A$2:$F$71,6,FALSE),"")</x:f>
      </x:c>
      <x:c r="I4" s="22" t="str"/>
      <x:c r="J4" s="22" t="str"/>
      <x:c r="K4" s="44" t="str"/>
      <x:c r="L4" s="22" t="str"/>
    </x:row>
    <x:row r="5" ht="72" customHeight="1">
      <x:c r="A5" s="22" t="str"/>
      <x:c r="B5" s="22" t="str"/>
      <x:c r="C5" s="22" t="str"/>
      <x:c r="D5" s="22" t="str">
        <x:f>IFERROR(VLOOKUP(B5&amp;"|"&amp;C5,'_Lookup'!$A$2:$F$71,2,FALSE),"")</x:f>
      </x:c>
      <x:c r="E5" s="22" t="str">
        <x:f>IFERROR(VLOOKUP(B5&amp;"|"&amp;C5,'_Lookup'!$A$2:$F$71,3,FALSE),"")</x:f>
      </x:c>
      <x:c r="F5" s="22" t="str">
        <x:f>IFERROR(VLOOKUP(B5&amp;"|"&amp;C5,'_Lookup'!$A$2:$F$71,4,FALSE),"")</x:f>
      </x:c>
      <x:c r="G5" s="22" t="str">
        <x:f>IFERROR(VLOOKUP(B5&amp;"|"&amp;C5,'_Lookup'!$A$2:$F$71,5,FALSE),"")</x:f>
      </x:c>
      <x:c r="H5" s="22" t="str">
        <x:f>IFERROR(VLOOKUP(B5&amp;"|"&amp;C5,'_Lookup'!$A$2:$F$71,6,FALSE),"")</x:f>
      </x:c>
      <x:c r="I5" s="22" t="str"/>
      <x:c r="J5" s="22" t="str"/>
      <x:c r="K5" s="44" t="str"/>
      <x:c r="L5" s="22" t="str"/>
    </x:row>
    <x:row r="6" ht="72" customHeight="1">
      <x:c r="A6" s="22" t="str"/>
      <x:c r="B6" s="22" t="str"/>
      <x:c r="C6" s="22" t="str"/>
      <x:c r="D6" s="22" t="str">
        <x:f>IFERROR(VLOOKUP(B6&amp;"|"&amp;C6,'_Lookup'!$A$2:$F$71,2,FALSE),"")</x:f>
      </x:c>
      <x:c r="E6" s="22" t="str">
        <x:f>IFERROR(VLOOKUP(B6&amp;"|"&amp;C6,'_Lookup'!$A$2:$F$71,3,FALSE),"")</x:f>
      </x:c>
      <x:c r="F6" s="22" t="str">
        <x:f>IFERROR(VLOOKUP(B6&amp;"|"&amp;C6,'_Lookup'!$A$2:$F$71,4,FALSE),"")</x:f>
      </x:c>
      <x:c r="G6" s="22" t="str">
        <x:f>IFERROR(VLOOKUP(B6&amp;"|"&amp;C6,'_Lookup'!$A$2:$F$71,5,FALSE),"")</x:f>
      </x:c>
      <x:c r="H6" s="22" t="str">
        <x:f>IFERROR(VLOOKUP(B6&amp;"|"&amp;C6,'_Lookup'!$A$2:$F$71,6,FALSE),"")</x:f>
      </x:c>
      <x:c r="I6" s="22" t="str"/>
      <x:c r="J6" s="22" t="str"/>
      <x:c r="K6" s="44" t="str"/>
      <x:c r="L6" s="22" t="str"/>
    </x:row>
    <x:row r="7" ht="72" customHeight="1">
      <x:c r="A7" s="22" t="str"/>
      <x:c r="B7" s="22" t="str"/>
      <x:c r="C7" s="22" t="str"/>
      <x:c r="D7" s="22" t="str">
        <x:f>IFERROR(VLOOKUP(B7&amp;"|"&amp;C7,'_Lookup'!$A$2:$F$71,2,FALSE),"")</x:f>
      </x:c>
      <x:c r="E7" s="22" t="str">
        <x:f>IFERROR(VLOOKUP(B7&amp;"|"&amp;C7,'_Lookup'!$A$2:$F$71,3,FALSE),"")</x:f>
      </x:c>
      <x:c r="F7" s="22" t="str">
        <x:f>IFERROR(VLOOKUP(B7&amp;"|"&amp;C7,'_Lookup'!$A$2:$F$71,4,FALSE),"")</x:f>
      </x:c>
      <x:c r="G7" s="22" t="str">
        <x:f>IFERROR(VLOOKUP(B7&amp;"|"&amp;C7,'_Lookup'!$A$2:$F$71,5,FALSE),"")</x:f>
      </x:c>
      <x:c r="H7" s="22" t="str">
        <x:f>IFERROR(VLOOKUP(B7&amp;"|"&amp;C7,'_Lookup'!$A$2:$F$71,6,FALSE),"")</x:f>
      </x:c>
      <x:c r="I7" s="22" t="str"/>
      <x:c r="J7" s="22" t="str"/>
      <x:c r="K7" s="44" t="str"/>
      <x:c r="L7" s="22" t="str"/>
    </x:row>
    <x:row r="8" ht="72" customHeight="1">
      <x:c r="A8" s="22" t="str"/>
      <x:c r="B8" s="22" t="str"/>
      <x:c r="C8" s="22" t="str"/>
      <x:c r="D8" s="22" t="str">
        <x:f>IFERROR(VLOOKUP(B8&amp;"|"&amp;C8,'_Lookup'!$A$2:$F$71,2,FALSE),"")</x:f>
      </x:c>
      <x:c r="E8" s="22" t="str">
        <x:f>IFERROR(VLOOKUP(B8&amp;"|"&amp;C8,'_Lookup'!$A$2:$F$71,3,FALSE),"")</x:f>
      </x:c>
      <x:c r="F8" s="22" t="str">
        <x:f>IFERROR(VLOOKUP(B8&amp;"|"&amp;C8,'_Lookup'!$A$2:$F$71,4,FALSE),"")</x:f>
      </x:c>
      <x:c r="G8" s="22" t="str">
        <x:f>IFERROR(VLOOKUP(B8&amp;"|"&amp;C8,'_Lookup'!$A$2:$F$71,5,FALSE),"")</x:f>
      </x:c>
      <x:c r="H8" s="22" t="str">
        <x:f>IFERROR(VLOOKUP(B8&amp;"|"&amp;C8,'_Lookup'!$A$2:$F$71,6,FALSE),"")</x:f>
      </x:c>
      <x:c r="I8" s="22" t="str"/>
      <x:c r="J8" s="22" t="str"/>
      <x:c r="K8" s="44" t="str"/>
      <x:c r="L8" s="22" t="str"/>
    </x:row>
    <x:row r="9" ht="72" customHeight="1">
      <x:c r="A9" s="22" t="str"/>
      <x:c r="B9" s="22" t="str"/>
      <x:c r="C9" s="22" t="str"/>
      <x:c r="D9" s="22" t="str">
        <x:f>IFERROR(VLOOKUP(B9&amp;"|"&amp;C9,'_Lookup'!$A$2:$F$71,2,FALSE),"")</x:f>
      </x:c>
      <x:c r="E9" s="22" t="str">
        <x:f>IFERROR(VLOOKUP(B9&amp;"|"&amp;C9,'_Lookup'!$A$2:$F$71,3,FALSE),"")</x:f>
      </x:c>
      <x:c r="F9" s="22" t="str">
        <x:f>IFERROR(VLOOKUP(B9&amp;"|"&amp;C9,'_Lookup'!$A$2:$F$71,4,FALSE),"")</x:f>
      </x:c>
      <x:c r="G9" s="22" t="str">
        <x:f>IFERROR(VLOOKUP(B9&amp;"|"&amp;C9,'_Lookup'!$A$2:$F$71,5,FALSE),"")</x:f>
      </x:c>
      <x:c r="H9" s="22" t="str">
        <x:f>IFERROR(VLOOKUP(B9&amp;"|"&amp;C9,'_Lookup'!$A$2:$F$71,6,FALSE),"")</x:f>
      </x:c>
      <x:c r="I9" s="22" t="str"/>
      <x:c r="J9" s="22" t="str"/>
      <x:c r="K9" s="44" t="str"/>
      <x:c r="L9" s="22" t="str"/>
    </x:row>
    <x:row r="10" ht="72" customHeight="1">
      <x:c r="A10" s="22" t="str"/>
      <x:c r="B10" s="22" t="str"/>
      <x:c r="C10" s="22" t="str"/>
      <x:c r="D10" s="22" t="str">
        <x:f>IFERROR(VLOOKUP(B10&amp;"|"&amp;C10,'_Lookup'!$A$2:$F$71,2,FALSE),"")</x:f>
      </x:c>
      <x:c r="E10" s="22" t="str">
        <x:f>IFERROR(VLOOKUP(B10&amp;"|"&amp;C10,'_Lookup'!$A$2:$F$71,3,FALSE),"")</x:f>
      </x:c>
      <x:c r="F10" s="22" t="str">
        <x:f>IFERROR(VLOOKUP(B10&amp;"|"&amp;C10,'_Lookup'!$A$2:$F$71,4,FALSE),"")</x:f>
      </x:c>
      <x:c r="G10" s="22" t="str">
        <x:f>IFERROR(VLOOKUP(B10&amp;"|"&amp;C10,'_Lookup'!$A$2:$F$71,5,FALSE),"")</x:f>
      </x:c>
      <x:c r="H10" s="22" t="str">
        <x:f>IFERROR(VLOOKUP(B10&amp;"|"&amp;C10,'_Lookup'!$A$2:$F$71,6,FALSE),"")</x:f>
      </x:c>
      <x:c r="I10" s="22" t="str"/>
      <x:c r="J10" s="22" t="str"/>
      <x:c r="K10" s="44" t="str"/>
      <x:c r="L10" s="22" t="str"/>
    </x:row>
    <x:row r="11" ht="72" customHeight="1">
      <x:c r="A11" s="22" t="str"/>
      <x:c r="B11" s="22" t="str"/>
      <x:c r="C11" s="22" t="str"/>
      <x:c r="D11" s="22" t="str">
        <x:f>IFERROR(VLOOKUP(B11&amp;"|"&amp;C11,'_Lookup'!$A$2:$F$71,2,FALSE),"")</x:f>
      </x:c>
      <x:c r="E11" s="22" t="str">
        <x:f>IFERROR(VLOOKUP(B11&amp;"|"&amp;C11,'_Lookup'!$A$2:$F$71,3,FALSE),"")</x:f>
      </x:c>
      <x:c r="F11" s="22" t="str">
        <x:f>IFERROR(VLOOKUP(B11&amp;"|"&amp;C11,'_Lookup'!$A$2:$F$71,4,FALSE),"")</x:f>
      </x:c>
      <x:c r="G11" s="22" t="str">
        <x:f>IFERROR(VLOOKUP(B11&amp;"|"&amp;C11,'_Lookup'!$A$2:$F$71,5,FALSE),"")</x:f>
      </x:c>
      <x:c r="H11" s="22" t="str">
        <x:f>IFERROR(VLOOKUP(B11&amp;"|"&amp;C11,'_Lookup'!$A$2:$F$71,6,FALSE),"")</x:f>
      </x:c>
      <x:c r="I11" s="22" t="str"/>
      <x:c r="J11" s="22" t="str"/>
      <x:c r="K11" s="44" t="str"/>
      <x:c r="L11" s="22" t="str"/>
    </x:row>
    <x:row r="12" ht="72" customHeight="1">
      <x:c r="A12" s="22" t="str"/>
      <x:c r="B12" s="22" t="str"/>
      <x:c r="C12" s="22" t="str"/>
      <x:c r="D12" s="22" t="str">
        <x:f>IFERROR(VLOOKUP(B12&amp;"|"&amp;C12,'_Lookup'!$A$2:$F$71,2,FALSE),"")</x:f>
      </x:c>
      <x:c r="E12" s="22" t="str">
        <x:f>IFERROR(VLOOKUP(B12&amp;"|"&amp;C12,'_Lookup'!$A$2:$F$71,3,FALSE),"")</x:f>
      </x:c>
      <x:c r="F12" s="22" t="str">
        <x:f>IFERROR(VLOOKUP(B12&amp;"|"&amp;C12,'_Lookup'!$A$2:$F$71,4,FALSE),"")</x:f>
      </x:c>
      <x:c r="G12" s="22" t="str">
        <x:f>IFERROR(VLOOKUP(B12&amp;"|"&amp;C12,'_Lookup'!$A$2:$F$71,5,FALSE),"")</x:f>
      </x:c>
      <x:c r="H12" s="22" t="str">
        <x:f>IFERROR(VLOOKUP(B12&amp;"|"&amp;C12,'_Lookup'!$A$2:$F$71,6,FALSE),"")</x:f>
      </x:c>
      <x:c r="I12" s="22" t="str"/>
      <x:c r="J12" s="22" t="str"/>
      <x:c r="K12" s="44" t="str"/>
      <x:c r="L12" s="22" t="str"/>
    </x:row>
    <x:row r="13" ht="72" customHeight="1">
      <x:c r="A13" s="22" t="str"/>
      <x:c r="B13" s="22" t="str"/>
      <x:c r="C13" s="22" t="str"/>
      <x:c r="D13" s="22" t="str">
        <x:f>IFERROR(VLOOKUP(B13&amp;"|"&amp;C13,'_Lookup'!$A$2:$F$71,2,FALSE),"")</x:f>
      </x:c>
      <x:c r="E13" s="22" t="str">
        <x:f>IFERROR(VLOOKUP(B13&amp;"|"&amp;C13,'_Lookup'!$A$2:$F$71,3,FALSE),"")</x:f>
      </x:c>
      <x:c r="F13" s="22" t="str">
        <x:f>IFERROR(VLOOKUP(B13&amp;"|"&amp;C13,'_Lookup'!$A$2:$F$71,4,FALSE),"")</x:f>
      </x:c>
      <x:c r="G13" s="22" t="str">
        <x:f>IFERROR(VLOOKUP(B13&amp;"|"&amp;C13,'_Lookup'!$A$2:$F$71,5,FALSE),"")</x:f>
      </x:c>
      <x:c r="H13" s="22" t="str">
        <x:f>IFERROR(VLOOKUP(B13&amp;"|"&amp;C13,'_Lookup'!$A$2:$F$71,6,FALSE),"")</x:f>
      </x:c>
      <x:c r="I13" s="22" t="str"/>
      <x:c r="J13" s="22" t="str"/>
      <x:c r="K13" s="44" t="str"/>
      <x:c r="L13" s="22" t="str"/>
    </x:row>
    <x:row r="14" ht="72" customHeight="1">
      <x:c r="A14" s="22" t="str"/>
      <x:c r="B14" s="22" t="str"/>
      <x:c r="C14" s="22" t="str"/>
      <x:c r="D14" s="22" t="str">
        <x:f>IFERROR(VLOOKUP(B14&amp;"|"&amp;C14,'_Lookup'!$A$2:$F$71,2,FALSE),"")</x:f>
      </x:c>
      <x:c r="E14" s="22" t="str">
        <x:f>IFERROR(VLOOKUP(B14&amp;"|"&amp;C14,'_Lookup'!$A$2:$F$71,3,FALSE),"")</x:f>
      </x:c>
      <x:c r="F14" s="22" t="str">
        <x:f>IFERROR(VLOOKUP(B14&amp;"|"&amp;C14,'_Lookup'!$A$2:$F$71,4,FALSE),"")</x:f>
      </x:c>
      <x:c r="G14" s="22" t="str">
        <x:f>IFERROR(VLOOKUP(B14&amp;"|"&amp;C14,'_Lookup'!$A$2:$F$71,5,FALSE),"")</x:f>
      </x:c>
      <x:c r="H14" s="22" t="str">
        <x:f>IFERROR(VLOOKUP(B14&amp;"|"&amp;C14,'_Lookup'!$A$2:$F$71,6,FALSE),"")</x:f>
      </x:c>
      <x:c r="I14" s="22" t="str"/>
      <x:c r="J14" s="22" t="str"/>
      <x:c r="K14" s="44" t="str"/>
      <x:c r="L14" s="22" t="str"/>
    </x:row>
    <x:row r="15" ht="72" customHeight="1">
      <x:c r="A15" s="22" t="str"/>
      <x:c r="B15" s="22" t="str"/>
      <x:c r="C15" s="22" t="str"/>
      <x:c r="D15" s="22" t="str">
        <x:f>IFERROR(VLOOKUP(B15&amp;"|"&amp;C15,'_Lookup'!$A$2:$F$71,2,FALSE),"")</x:f>
      </x:c>
      <x:c r="E15" s="22" t="str">
        <x:f>IFERROR(VLOOKUP(B15&amp;"|"&amp;C15,'_Lookup'!$A$2:$F$71,3,FALSE),"")</x:f>
      </x:c>
      <x:c r="F15" s="22" t="str">
        <x:f>IFERROR(VLOOKUP(B15&amp;"|"&amp;C15,'_Lookup'!$A$2:$F$71,4,FALSE),"")</x:f>
      </x:c>
      <x:c r="G15" s="22" t="str">
        <x:f>IFERROR(VLOOKUP(B15&amp;"|"&amp;C15,'_Lookup'!$A$2:$F$71,5,FALSE),"")</x:f>
      </x:c>
      <x:c r="H15" s="22" t="str">
        <x:f>IFERROR(VLOOKUP(B15&amp;"|"&amp;C15,'_Lookup'!$A$2:$F$71,6,FALSE),"")</x:f>
      </x:c>
      <x:c r="I15" s="22" t="str"/>
      <x:c r="J15" s="22" t="str"/>
      <x:c r="K15" s="44" t="str"/>
      <x:c r="L15" s="22" t="str"/>
    </x:row>
    <x:row r="16" ht="72" customHeight="1">
      <x:c r="A16" s="22" t="str"/>
      <x:c r="B16" s="22" t="str"/>
      <x:c r="C16" s="22" t="str"/>
      <x:c r="D16" s="22" t="str">
        <x:f>IFERROR(VLOOKUP(B16&amp;"|"&amp;C16,'_Lookup'!$A$2:$F$71,2,FALSE),"")</x:f>
      </x:c>
      <x:c r="E16" s="22" t="str">
        <x:f>IFERROR(VLOOKUP(B16&amp;"|"&amp;C16,'_Lookup'!$A$2:$F$71,3,FALSE),"")</x:f>
      </x:c>
      <x:c r="F16" s="22" t="str">
        <x:f>IFERROR(VLOOKUP(B16&amp;"|"&amp;C16,'_Lookup'!$A$2:$F$71,4,FALSE),"")</x:f>
      </x:c>
      <x:c r="G16" s="22" t="str">
        <x:f>IFERROR(VLOOKUP(B16&amp;"|"&amp;C16,'_Lookup'!$A$2:$F$71,5,FALSE),"")</x:f>
      </x:c>
      <x:c r="H16" s="22" t="str">
        <x:f>IFERROR(VLOOKUP(B16&amp;"|"&amp;C16,'_Lookup'!$A$2:$F$71,6,FALSE),"")</x:f>
      </x:c>
      <x:c r="I16" s="22" t="str"/>
      <x:c r="J16" s="22" t="str"/>
      <x:c r="K16" s="44" t="str"/>
      <x:c r="L16" s="22" t="str"/>
    </x:row>
    <x:row r="17" ht="72" customHeight="1">
      <x:c r="A17" s="22" t="str"/>
      <x:c r="B17" s="22" t="str"/>
      <x:c r="C17" s="22" t="str"/>
      <x:c r="D17" s="22" t="str">
        <x:f>IFERROR(VLOOKUP(B17&amp;"|"&amp;C17,'_Lookup'!$A$2:$F$71,2,FALSE),"")</x:f>
      </x:c>
      <x:c r="E17" s="22" t="str">
        <x:f>IFERROR(VLOOKUP(B17&amp;"|"&amp;C17,'_Lookup'!$A$2:$F$71,3,FALSE),"")</x:f>
      </x:c>
      <x:c r="F17" s="22" t="str">
        <x:f>IFERROR(VLOOKUP(B17&amp;"|"&amp;C17,'_Lookup'!$A$2:$F$71,4,FALSE),"")</x:f>
      </x:c>
      <x:c r="G17" s="22" t="str">
        <x:f>IFERROR(VLOOKUP(B17&amp;"|"&amp;C17,'_Lookup'!$A$2:$F$71,5,FALSE),"")</x:f>
      </x:c>
      <x:c r="H17" s="22" t="str">
        <x:f>IFERROR(VLOOKUP(B17&amp;"|"&amp;C17,'_Lookup'!$A$2:$F$71,6,FALSE),"")</x:f>
      </x:c>
      <x:c r="I17" s="22" t="str"/>
      <x:c r="J17" s="22" t="str"/>
      <x:c r="K17" s="44" t="str"/>
      <x:c r="L17" s="22" t="str"/>
    </x:row>
    <x:row r="18" ht="72" customHeight="1">
      <x:c r="A18" s="22" t="str"/>
      <x:c r="B18" s="22" t="str"/>
      <x:c r="C18" s="22" t="str"/>
      <x:c r="D18" s="22" t="str">
        <x:f>IFERROR(VLOOKUP(B18&amp;"|"&amp;C18,'_Lookup'!$A$2:$F$71,2,FALSE),"")</x:f>
      </x:c>
      <x:c r="E18" s="22" t="str">
        <x:f>IFERROR(VLOOKUP(B18&amp;"|"&amp;C18,'_Lookup'!$A$2:$F$71,3,FALSE),"")</x:f>
      </x:c>
      <x:c r="F18" s="22" t="str">
        <x:f>IFERROR(VLOOKUP(B18&amp;"|"&amp;C18,'_Lookup'!$A$2:$F$71,4,FALSE),"")</x:f>
      </x:c>
      <x:c r="G18" s="22" t="str">
        <x:f>IFERROR(VLOOKUP(B18&amp;"|"&amp;C18,'_Lookup'!$A$2:$F$71,5,FALSE),"")</x:f>
      </x:c>
      <x:c r="H18" s="22" t="str">
        <x:f>IFERROR(VLOOKUP(B18&amp;"|"&amp;C18,'_Lookup'!$A$2:$F$71,6,FALSE),"")</x:f>
      </x:c>
      <x:c r="I18" s="22" t="str"/>
      <x:c r="J18" s="22" t="str"/>
      <x:c r="K18" s="44" t="str"/>
      <x:c r="L18" s="22" t="str"/>
    </x:row>
    <x:row r="19" ht="72" customHeight="1">
      <x:c r="A19" s="22" t="str"/>
      <x:c r="B19" s="22" t="str"/>
      <x:c r="C19" s="22" t="str"/>
      <x:c r="D19" s="22" t="str">
        <x:f>IFERROR(VLOOKUP(B19&amp;"|"&amp;C19,'_Lookup'!$A$2:$F$71,2,FALSE),"")</x:f>
      </x:c>
      <x:c r="E19" s="22" t="str">
        <x:f>IFERROR(VLOOKUP(B19&amp;"|"&amp;C19,'_Lookup'!$A$2:$F$71,3,FALSE),"")</x:f>
      </x:c>
      <x:c r="F19" s="22" t="str">
        <x:f>IFERROR(VLOOKUP(B19&amp;"|"&amp;C19,'_Lookup'!$A$2:$F$71,4,FALSE),"")</x:f>
      </x:c>
      <x:c r="G19" s="22" t="str">
        <x:f>IFERROR(VLOOKUP(B19&amp;"|"&amp;C19,'_Lookup'!$A$2:$F$71,5,FALSE),"")</x:f>
      </x:c>
      <x:c r="H19" s="22" t="str">
        <x:f>IFERROR(VLOOKUP(B19&amp;"|"&amp;C19,'_Lookup'!$A$2:$F$71,6,FALSE),"")</x:f>
      </x:c>
      <x:c r="I19" s="22" t="str"/>
      <x:c r="J19" s="22" t="str"/>
      <x:c r="K19" s="44" t="str"/>
      <x:c r="L19" s="22" t="str"/>
    </x:row>
    <x:row r="20" ht="72" customHeight="1">
      <x:c r="A20" s="22" t="str"/>
      <x:c r="B20" s="22" t="str"/>
      <x:c r="C20" s="22" t="str"/>
      <x:c r="D20" s="22" t="str">
        <x:f>IFERROR(VLOOKUP(B20&amp;"|"&amp;C20,'_Lookup'!$A$2:$F$71,2,FALSE),"")</x:f>
      </x:c>
      <x:c r="E20" s="22" t="str">
        <x:f>IFERROR(VLOOKUP(B20&amp;"|"&amp;C20,'_Lookup'!$A$2:$F$71,3,FALSE),"")</x:f>
      </x:c>
      <x:c r="F20" s="22" t="str">
        <x:f>IFERROR(VLOOKUP(B20&amp;"|"&amp;C20,'_Lookup'!$A$2:$F$71,4,FALSE),"")</x:f>
      </x:c>
      <x:c r="G20" s="22" t="str">
        <x:f>IFERROR(VLOOKUP(B20&amp;"|"&amp;C20,'_Lookup'!$A$2:$F$71,5,FALSE),"")</x:f>
      </x:c>
      <x:c r="H20" s="22" t="str">
        <x:f>IFERROR(VLOOKUP(B20&amp;"|"&amp;C20,'_Lookup'!$A$2:$F$71,6,FALSE),"")</x:f>
      </x:c>
      <x:c r="I20" s="22" t="str"/>
      <x:c r="J20" s="22" t="str"/>
      <x:c r="K20" s="44" t="str"/>
      <x:c r="L20" s="22" t="str"/>
    </x:row>
    <x:row r="21" ht="72" customHeight="1">
      <x:c r="A21" s="22" t="str"/>
      <x:c r="B21" s="22" t="str"/>
      <x:c r="C21" s="22" t="str"/>
      <x:c r="D21" s="22" t="str">
        <x:f>IFERROR(VLOOKUP(B21&amp;"|"&amp;C21,'_Lookup'!$A$2:$F$71,2,FALSE),"")</x:f>
      </x:c>
      <x:c r="E21" s="22" t="str">
        <x:f>IFERROR(VLOOKUP(B21&amp;"|"&amp;C21,'_Lookup'!$A$2:$F$71,3,FALSE),"")</x:f>
      </x:c>
      <x:c r="F21" s="22" t="str">
        <x:f>IFERROR(VLOOKUP(B21&amp;"|"&amp;C21,'_Lookup'!$A$2:$F$71,4,FALSE),"")</x:f>
      </x:c>
      <x:c r="G21" s="22" t="str">
        <x:f>IFERROR(VLOOKUP(B21&amp;"|"&amp;C21,'_Lookup'!$A$2:$F$71,5,FALSE),"")</x:f>
      </x:c>
      <x:c r="H21" s="22" t="str">
        <x:f>IFERROR(VLOOKUP(B21&amp;"|"&amp;C21,'_Lookup'!$A$2:$F$71,6,FALSE),"")</x:f>
      </x:c>
      <x:c r="I21" s="22" t="str"/>
      <x:c r="J21" s="22" t="str"/>
      <x:c r="K21" s="44" t="str"/>
      <x:c r="L21" s="22" t="str"/>
    </x:row>
    <x:row r="22" ht="72" customHeight="1">
      <x:c r="A22" s="22" t="str"/>
      <x:c r="B22" s="22" t="str"/>
      <x:c r="C22" s="22" t="str"/>
      <x:c r="D22" s="22" t="str">
        <x:f>IFERROR(VLOOKUP(B22&amp;"|"&amp;C22,'_Lookup'!$A$2:$F$71,2,FALSE),"")</x:f>
      </x:c>
      <x:c r="E22" s="22" t="str">
        <x:f>IFERROR(VLOOKUP(B22&amp;"|"&amp;C22,'_Lookup'!$A$2:$F$71,3,FALSE),"")</x:f>
      </x:c>
      <x:c r="F22" s="22" t="str">
        <x:f>IFERROR(VLOOKUP(B22&amp;"|"&amp;C22,'_Lookup'!$A$2:$F$71,4,FALSE),"")</x:f>
      </x:c>
      <x:c r="G22" s="22" t="str">
        <x:f>IFERROR(VLOOKUP(B22&amp;"|"&amp;C22,'_Lookup'!$A$2:$F$71,5,FALSE),"")</x:f>
      </x:c>
      <x:c r="H22" s="22" t="str">
        <x:f>IFERROR(VLOOKUP(B22&amp;"|"&amp;C22,'_Lookup'!$A$2:$F$71,6,FALSE),"")</x:f>
      </x:c>
      <x:c r="I22" s="22" t="str"/>
      <x:c r="J22" s="22" t="str"/>
      <x:c r="K22" s="44" t="str"/>
      <x:c r="L22" s="22" t="str"/>
    </x:row>
    <x:row r="23" ht="72" customHeight="1">
      <x:c r="A23" s="22" t="str"/>
      <x:c r="B23" s="22" t="str"/>
      <x:c r="C23" s="22" t="str"/>
      <x:c r="D23" s="22" t="str">
        <x:f>IFERROR(VLOOKUP(B23&amp;"|"&amp;C23,'_Lookup'!$A$2:$F$71,2,FALSE),"")</x:f>
      </x:c>
      <x:c r="E23" s="22" t="str">
        <x:f>IFERROR(VLOOKUP(B23&amp;"|"&amp;C23,'_Lookup'!$A$2:$F$71,3,FALSE),"")</x:f>
      </x:c>
      <x:c r="F23" s="22" t="str">
        <x:f>IFERROR(VLOOKUP(B23&amp;"|"&amp;C23,'_Lookup'!$A$2:$F$71,4,FALSE),"")</x:f>
      </x:c>
      <x:c r="G23" s="22" t="str">
        <x:f>IFERROR(VLOOKUP(B23&amp;"|"&amp;C23,'_Lookup'!$A$2:$F$71,5,FALSE),"")</x:f>
      </x:c>
      <x:c r="H23" s="22" t="str">
        <x:f>IFERROR(VLOOKUP(B23&amp;"|"&amp;C23,'_Lookup'!$A$2:$F$71,6,FALSE),"")</x:f>
      </x:c>
      <x:c r="I23" s="22" t="str"/>
      <x:c r="J23" s="22" t="str"/>
      <x:c r="K23" s="44" t="str"/>
      <x:c r="L23" s="22" t="str"/>
    </x:row>
    <x:row r="24" ht="72" customHeight="1">
      <x:c r="A24" s="22" t="str"/>
      <x:c r="B24" s="22" t="str"/>
      <x:c r="C24" s="22" t="str"/>
      <x:c r="D24" s="22" t="str">
        <x:f>IFERROR(VLOOKUP(B24&amp;"|"&amp;C24,'_Lookup'!$A$2:$F$71,2,FALSE),"")</x:f>
      </x:c>
      <x:c r="E24" s="22" t="str">
        <x:f>IFERROR(VLOOKUP(B24&amp;"|"&amp;C24,'_Lookup'!$A$2:$F$71,3,FALSE),"")</x:f>
      </x:c>
      <x:c r="F24" s="22" t="str">
        <x:f>IFERROR(VLOOKUP(B24&amp;"|"&amp;C24,'_Lookup'!$A$2:$F$71,4,FALSE),"")</x:f>
      </x:c>
      <x:c r="G24" s="22" t="str">
        <x:f>IFERROR(VLOOKUP(B24&amp;"|"&amp;C24,'_Lookup'!$A$2:$F$71,5,FALSE),"")</x:f>
      </x:c>
      <x:c r="H24" s="22" t="str">
        <x:f>IFERROR(VLOOKUP(B24&amp;"|"&amp;C24,'_Lookup'!$A$2:$F$71,6,FALSE),"")</x:f>
      </x:c>
      <x:c r="I24" s="22" t="str"/>
      <x:c r="J24" s="22" t="str"/>
      <x:c r="K24" s="44" t="str"/>
      <x:c r="L24" s="22" t="str"/>
    </x:row>
    <x:row r="25" ht="72" customHeight="1">
      <x:c r="A25" s="22" t="str"/>
      <x:c r="B25" s="22" t="str"/>
      <x:c r="C25" s="22" t="str"/>
      <x:c r="D25" s="22" t="str">
        <x:f>IFERROR(VLOOKUP(B25&amp;"|"&amp;C25,'_Lookup'!$A$2:$F$71,2,FALSE),"")</x:f>
      </x:c>
      <x:c r="E25" s="22" t="str">
        <x:f>IFERROR(VLOOKUP(B25&amp;"|"&amp;C25,'_Lookup'!$A$2:$F$71,3,FALSE),"")</x:f>
      </x:c>
      <x:c r="F25" s="22" t="str">
        <x:f>IFERROR(VLOOKUP(B25&amp;"|"&amp;C25,'_Lookup'!$A$2:$F$71,4,FALSE),"")</x:f>
      </x:c>
      <x:c r="G25" s="22" t="str">
        <x:f>IFERROR(VLOOKUP(B25&amp;"|"&amp;C25,'_Lookup'!$A$2:$F$71,5,FALSE),"")</x:f>
      </x:c>
      <x:c r="H25" s="22" t="str">
        <x:f>IFERROR(VLOOKUP(B25&amp;"|"&amp;C25,'_Lookup'!$A$2:$F$71,6,FALSE),"")</x:f>
      </x:c>
      <x:c r="I25" s="22" t="str"/>
      <x:c r="J25" s="22" t="str"/>
      <x:c r="K25" s="44" t="str"/>
      <x:c r="L25" s="22" t="str"/>
    </x:row>
    <x:row r="26" ht="72" customHeight="1">
      <x:c r="A26" s="22" t="str"/>
      <x:c r="B26" s="22" t="str"/>
      <x:c r="C26" s="22" t="str"/>
      <x:c r="D26" s="22" t="str">
        <x:f>IFERROR(VLOOKUP(B26&amp;"|"&amp;C26,'_Lookup'!$A$2:$F$71,2,FALSE),"")</x:f>
      </x:c>
      <x:c r="E26" s="22" t="str">
        <x:f>IFERROR(VLOOKUP(B26&amp;"|"&amp;C26,'_Lookup'!$A$2:$F$71,3,FALSE),"")</x:f>
      </x:c>
      <x:c r="F26" s="22" t="str">
        <x:f>IFERROR(VLOOKUP(B26&amp;"|"&amp;C26,'_Lookup'!$A$2:$F$71,4,FALSE),"")</x:f>
      </x:c>
      <x:c r="G26" s="22" t="str">
        <x:f>IFERROR(VLOOKUP(B26&amp;"|"&amp;C26,'_Lookup'!$A$2:$F$71,5,FALSE),"")</x:f>
      </x:c>
      <x:c r="H26" s="22" t="str">
        <x:f>IFERROR(VLOOKUP(B26&amp;"|"&amp;C26,'_Lookup'!$A$2:$F$71,6,FALSE),"")</x:f>
      </x:c>
      <x:c r="I26" s="22" t="str"/>
      <x:c r="J26" s="22" t="str"/>
      <x:c r="K26" s="44" t="str"/>
      <x:c r="L26" s="22" t="str"/>
    </x:row>
    <x:row r="27" ht="72" customHeight="1">
      <x:c r="A27" s="22" t="str"/>
      <x:c r="B27" s="22" t="str"/>
      <x:c r="C27" s="22" t="str"/>
      <x:c r="D27" s="22" t="str">
        <x:f>IFERROR(VLOOKUP(B27&amp;"|"&amp;C27,'_Lookup'!$A$2:$F$71,2,FALSE),"")</x:f>
      </x:c>
      <x:c r="E27" s="22" t="str">
        <x:f>IFERROR(VLOOKUP(B27&amp;"|"&amp;C27,'_Lookup'!$A$2:$F$71,3,FALSE),"")</x:f>
      </x:c>
      <x:c r="F27" s="22" t="str">
        <x:f>IFERROR(VLOOKUP(B27&amp;"|"&amp;C27,'_Lookup'!$A$2:$F$71,4,FALSE),"")</x:f>
      </x:c>
      <x:c r="G27" s="22" t="str">
        <x:f>IFERROR(VLOOKUP(B27&amp;"|"&amp;C27,'_Lookup'!$A$2:$F$71,5,FALSE),"")</x:f>
      </x:c>
      <x:c r="H27" s="22" t="str">
        <x:f>IFERROR(VLOOKUP(B27&amp;"|"&amp;C27,'_Lookup'!$A$2:$F$71,6,FALSE),"")</x:f>
      </x:c>
      <x:c r="I27" s="22" t="str"/>
      <x:c r="J27" s="22" t="str"/>
      <x:c r="K27" s="44" t="str"/>
      <x:c r="L27" s="22" t="str"/>
    </x:row>
    <x:row r="28" ht="72" customHeight="1">
      <x:c r="A28" s="22" t="str"/>
      <x:c r="B28" s="22" t="str"/>
      <x:c r="C28" s="22" t="str"/>
      <x:c r="D28" s="22" t="str">
        <x:f>IFERROR(VLOOKUP(B28&amp;"|"&amp;C28,'_Lookup'!$A$2:$F$71,2,FALSE),"")</x:f>
      </x:c>
      <x:c r="E28" s="22" t="str">
        <x:f>IFERROR(VLOOKUP(B28&amp;"|"&amp;C28,'_Lookup'!$A$2:$F$71,3,FALSE),"")</x:f>
      </x:c>
      <x:c r="F28" s="22" t="str">
        <x:f>IFERROR(VLOOKUP(B28&amp;"|"&amp;C28,'_Lookup'!$A$2:$F$71,4,FALSE),"")</x:f>
      </x:c>
      <x:c r="G28" s="22" t="str">
        <x:f>IFERROR(VLOOKUP(B28&amp;"|"&amp;C28,'_Lookup'!$A$2:$F$71,5,FALSE),"")</x:f>
      </x:c>
      <x:c r="H28" s="22" t="str">
        <x:f>IFERROR(VLOOKUP(B28&amp;"|"&amp;C28,'_Lookup'!$A$2:$F$71,6,FALSE),"")</x:f>
      </x:c>
      <x:c r="I28" s="22" t="str"/>
      <x:c r="J28" s="22" t="str"/>
      <x:c r="K28" s="44" t="str"/>
      <x:c r="L28" s="22" t="str"/>
    </x:row>
    <x:row r="29" ht="72" customHeight="1">
      <x:c r="A29" s="22" t="str"/>
      <x:c r="B29" s="22" t="str"/>
      <x:c r="C29" s="22" t="str"/>
      <x:c r="D29" s="22" t="str">
        <x:f>IFERROR(VLOOKUP(B29&amp;"|"&amp;C29,'_Lookup'!$A$2:$F$71,2,FALSE),"")</x:f>
      </x:c>
      <x:c r="E29" s="22" t="str">
        <x:f>IFERROR(VLOOKUP(B29&amp;"|"&amp;C29,'_Lookup'!$A$2:$F$71,3,FALSE),"")</x:f>
      </x:c>
      <x:c r="F29" s="22" t="str">
        <x:f>IFERROR(VLOOKUP(B29&amp;"|"&amp;C29,'_Lookup'!$A$2:$F$71,4,FALSE),"")</x:f>
      </x:c>
      <x:c r="G29" s="22" t="str">
        <x:f>IFERROR(VLOOKUP(B29&amp;"|"&amp;C29,'_Lookup'!$A$2:$F$71,5,FALSE),"")</x:f>
      </x:c>
      <x:c r="H29" s="22" t="str">
        <x:f>IFERROR(VLOOKUP(B29&amp;"|"&amp;C29,'_Lookup'!$A$2:$F$71,6,FALSE),"")</x:f>
      </x:c>
      <x:c r="I29" s="22" t="str"/>
      <x:c r="J29" s="22" t="str"/>
      <x:c r="K29" s="44" t="str"/>
      <x:c r="L29" s="22" t="str"/>
    </x:row>
    <x:row r="30" ht="72" customHeight="1">
      <x:c r="A30" s="22" t="str"/>
      <x:c r="B30" s="22" t="str"/>
      <x:c r="C30" s="22" t="str"/>
      <x:c r="D30" s="22" t="str">
        <x:f>IFERROR(VLOOKUP(B30&amp;"|"&amp;C30,'_Lookup'!$A$2:$F$71,2,FALSE),"")</x:f>
      </x:c>
      <x:c r="E30" s="22" t="str">
        <x:f>IFERROR(VLOOKUP(B30&amp;"|"&amp;C30,'_Lookup'!$A$2:$F$71,3,FALSE),"")</x:f>
      </x:c>
      <x:c r="F30" s="22" t="str">
        <x:f>IFERROR(VLOOKUP(B30&amp;"|"&amp;C30,'_Lookup'!$A$2:$F$71,4,FALSE),"")</x:f>
      </x:c>
      <x:c r="G30" s="22" t="str">
        <x:f>IFERROR(VLOOKUP(B30&amp;"|"&amp;C30,'_Lookup'!$A$2:$F$71,5,FALSE),"")</x:f>
      </x:c>
      <x:c r="H30" s="22" t="str">
        <x:f>IFERROR(VLOOKUP(B30&amp;"|"&amp;C30,'_Lookup'!$A$2:$F$71,6,FALSE),"")</x:f>
      </x:c>
      <x:c r="I30" s="22" t="str"/>
      <x:c r="J30" s="22" t="str"/>
      <x:c r="K30" s="44" t="str"/>
      <x:c r="L30" s="22" t="str"/>
    </x:row>
    <x:row r="31" ht="72" customHeight="1">
      <x:c r="A31" s="22" t="str"/>
      <x:c r="B31" s="22" t="str"/>
      <x:c r="C31" s="22" t="str"/>
      <x:c r="D31" s="22" t="str">
        <x:f>IFERROR(VLOOKUP(B31&amp;"|"&amp;C31,'_Lookup'!$A$2:$F$71,2,FALSE),"")</x:f>
      </x:c>
      <x:c r="E31" s="22" t="str">
        <x:f>IFERROR(VLOOKUP(B31&amp;"|"&amp;C31,'_Lookup'!$A$2:$F$71,3,FALSE),"")</x:f>
      </x:c>
      <x:c r="F31" s="22" t="str">
        <x:f>IFERROR(VLOOKUP(B31&amp;"|"&amp;C31,'_Lookup'!$A$2:$F$71,4,FALSE),"")</x:f>
      </x:c>
      <x:c r="G31" s="22" t="str">
        <x:f>IFERROR(VLOOKUP(B31&amp;"|"&amp;C31,'_Lookup'!$A$2:$F$71,5,FALSE),"")</x:f>
      </x:c>
      <x:c r="H31" s="22" t="str">
        <x:f>IFERROR(VLOOKUP(B31&amp;"|"&amp;C31,'_Lookup'!$A$2:$F$71,6,FALSE),"")</x:f>
      </x:c>
      <x:c r="I31" s="22" t="str"/>
      <x:c r="J31" s="22" t="str"/>
      <x:c r="K31" s="44" t="str"/>
      <x:c r="L31" s="22" t="str"/>
    </x:row>
    <x:row r="32" ht="72" customHeight="1">
      <x:c r="A32" s="22" t="str"/>
      <x:c r="B32" s="22" t="str"/>
      <x:c r="C32" s="22" t="str"/>
      <x:c r="D32" s="22" t="str">
        <x:f>IFERROR(VLOOKUP(B32&amp;"|"&amp;C32,'_Lookup'!$A$2:$F$71,2,FALSE),"")</x:f>
      </x:c>
      <x:c r="E32" s="22" t="str">
        <x:f>IFERROR(VLOOKUP(B32&amp;"|"&amp;C32,'_Lookup'!$A$2:$F$71,3,FALSE),"")</x:f>
      </x:c>
      <x:c r="F32" s="22" t="str">
        <x:f>IFERROR(VLOOKUP(B32&amp;"|"&amp;C32,'_Lookup'!$A$2:$F$71,4,FALSE),"")</x:f>
      </x:c>
      <x:c r="G32" s="22" t="str">
        <x:f>IFERROR(VLOOKUP(B32&amp;"|"&amp;C32,'_Lookup'!$A$2:$F$71,5,FALSE),"")</x:f>
      </x:c>
      <x:c r="H32" s="22" t="str">
        <x:f>IFERROR(VLOOKUP(B32&amp;"|"&amp;C32,'_Lookup'!$A$2:$F$71,6,FALSE),"")</x:f>
      </x:c>
      <x:c r="I32" s="22" t="str"/>
      <x:c r="J32" s="22" t="str"/>
      <x:c r="K32" s="44" t="str"/>
      <x:c r="L32" s="22" t="str"/>
    </x:row>
    <x:row r="33" ht="72" customHeight="1">
      <x:c r="A33" s="22" t="str"/>
      <x:c r="B33" s="22" t="str"/>
      <x:c r="C33" s="22" t="str"/>
      <x:c r="D33" s="22" t="str">
        <x:f>IFERROR(VLOOKUP(B33&amp;"|"&amp;C33,'_Lookup'!$A$2:$F$71,2,FALSE),"")</x:f>
      </x:c>
      <x:c r="E33" s="22" t="str">
        <x:f>IFERROR(VLOOKUP(B33&amp;"|"&amp;C33,'_Lookup'!$A$2:$F$71,3,FALSE),"")</x:f>
      </x:c>
      <x:c r="F33" s="22" t="str">
        <x:f>IFERROR(VLOOKUP(B33&amp;"|"&amp;C33,'_Lookup'!$A$2:$F$71,4,FALSE),"")</x:f>
      </x:c>
      <x:c r="G33" s="22" t="str">
        <x:f>IFERROR(VLOOKUP(B33&amp;"|"&amp;C33,'_Lookup'!$A$2:$F$71,5,FALSE),"")</x:f>
      </x:c>
      <x:c r="H33" s="22" t="str">
        <x:f>IFERROR(VLOOKUP(B33&amp;"|"&amp;C33,'_Lookup'!$A$2:$F$71,6,FALSE),"")</x:f>
      </x:c>
      <x:c r="I33" s="22" t="str"/>
      <x:c r="J33" s="22" t="str"/>
      <x:c r="K33" s="44" t="str"/>
      <x:c r="L33" s="22" t="str"/>
    </x:row>
    <x:row r="34" ht="72" customHeight="1">
      <x:c r="A34" s="22" t="str"/>
      <x:c r="B34" s="22" t="str"/>
      <x:c r="C34" s="22" t="str"/>
      <x:c r="D34" s="22" t="str">
        <x:f>IFERROR(VLOOKUP(B34&amp;"|"&amp;C34,'_Lookup'!$A$2:$F$71,2,FALSE),"")</x:f>
      </x:c>
      <x:c r="E34" s="22" t="str">
        <x:f>IFERROR(VLOOKUP(B34&amp;"|"&amp;C34,'_Lookup'!$A$2:$F$71,3,FALSE),"")</x:f>
      </x:c>
      <x:c r="F34" s="22" t="str">
        <x:f>IFERROR(VLOOKUP(B34&amp;"|"&amp;C34,'_Lookup'!$A$2:$F$71,4,FALSE),"")</x:f>
      </x:c>
      <x:c r="G34" s="22" t="str">
        <x:f>IFERROR(VLOOKUP(B34&amp;"|"&amp;C34,'_Lookup'!$A$2:$F$71,5,FALSE),"")</x:f>
      </x:c>
      <x:c r="H34" s="22" t="str">
        <x:f>IFERROR(VLOOKUP(B34&amp;"|"&amp;C34,'_Lookup'!$A$2:$F$71,6,FALSE),"")</x:f>
      </x:c>
      <x:c r="I34" s="22" t="str"/>
      <x:c r="J34" s="22" t="str"/>
      <x:c r="K34" s="44" t="str"/>
      <x:c r="L34" s="22" t="str"/>
    </x:row>
    <x:row r="35" ht="72" customHeight="1">
      <x:c r="A35" s="22" t="str"/>
      <x:c r="B35" s="22" t="str"/>
      <x:c r="C35" s="22" t="str"/>
      <x:c r="D35" s="22" t="str">
        <x:f>IFERROR(VLOOKUP(B35&amp;"|"&amp;C35,'_Lookup'!$A$2:$F$71,2,FALSE),"")</x:f>
      </x:c>
      <x:c r="E35" s="22" t="str">
        <x:f>IFERROR(VLOOKUP(B35&amp;"|"&amp;C35,'_Lookup'!$A$2:$F$71,3,FALSE),"")</x:f>
      </x:c>
      <x:c r="F35" s="22" t="str">
        <x:f>IFERROR(VLOOKUP(B35&amp;"|"&amp;C35,'_Lookup'!$A$2:$F$71,4,FALSE),"")</x:f>
      </x:c>
      <x:c r="G35" s="22" t="str">
        <x:f>IFERROR(VLOOKUP(B35&amp;"|"&amp;C35,'_Lookup'!$A$2:$F$71,5,FALSE),"")</x:f>
      </x:c>
      <x:c r="H35" s="22" t="str">
        <x:f>IFERROR(VLOOKUP(B35&amp;"|"&amp;C35,'_Lookup'!$A$2:$F$71,6,FALSE),"")</x:f>
      </x:c>
      <x:c r="I35" s="22" t="str"/>
      <x:c r="J35" s="22" t="str"/>
      <x:c r="K35" s="44" t="str"/>
      <x:c r="L35" s="22" t="str"/>
    </x:row>
    <x:row r="36" ht="72" customHeight="1">
      <x:c r="A36" s="22" t="str"/>
      <x:c r="B36" s="22" t="str"/>
      <x:c r="C36" s="22" t="str"/>
      <x:c r="D36" s="22" t="str">
        <x:f>IFERROR(VLOOKUP(B36&amp;"|"&amp;C36,'_Lookup'!$A$2:$F$71,2,FALSE),"")</x:f>
      </x:c>
      <x:c r="E36" s="22" t="str">
        <x:f>IFERROR(VLOOKUP(B36&amp;"|"&amp;C36,'_Lookup'!$A$2:$F$71,3,FALSE),"")</x:f>
      </x:c>
      <x:c r="F36" s="22" t="str">
        <x:f>IFERROR(VLOOKUP(B36&amp;"|"&amp;C36,'_Lookup'!$A$2:$F$71,4,FALSE),"")</x:f>
      </x:c>
      <x:c r="G36" s="22" t="str">
        <x:f>IFERROR(VLOOKUP(B36&amp;"|"&amp;C36,'_Lookup'!$A$2:$F$71,5,FALSE),"")</x:f>
      </x:c>
      <x:c r="H36" s="22" t="str">
        <x:f>IFERROR(VLOOKUP(B36&amp;"|"&amp;C36,'_Lookup'!$A$2:$F$71,6,FALSE),"")</x:f>
      </x:c>
      <x:c r="I36" s="22" t="str"/>
      <x:c r="J36" s="22" t="str"/>
      <x:c r="K36" s="44" t="str"/>
      <x:c r="L36" s="22" t="str"/>
    </x:row>
    <x:row r="37" ht="72" customHeight="1">
      <x:c r="A37" s="22" t="str"/>
      <x:c r="B37" s="22" t="str"/>
      <x:c r="C37" s="22" t="str"/>
      <x:c r="D37" s="22" t="str">
        <x:f>IFERROR(VLOOKUP(B37&amp;"|"&amp;C37,'_Lookup'!$A$2:$F$71,2,FALSE),"")</x:f>
      </x:c>
      <x:c r="E37" s="22" t="str">
        <x:f>IFERROR(VLOOKUP(B37&amp;"|"&amp;C37,'_Lookup'!$A$2:$F$71,3,FALSE),"")</x:f>
      </x:c>
      <x:c r="F37" s="22" t="str">
        <x:f>IFERROR(VLOOKUP(B37&amp;"|"&amp;C37,'_Lookup'!$A$2:$F$71,4,FALSE),"")</x:f>
      </x:c>
      <x:c r="G37" s="22" t="str">
        <x:f>IFERROR(VLOOKUP(B37&amp;"|"&amp;C37,'_Lookup'!$A$2:$F$71,5,FALSE),"")</x:f>
      </x:c>
      <x:c r="H37" s="22" t="str">
        <x:f>IFERROR(VLOOKUP(B37&amp;"|"&amp;C37,'_Lookup'!$A$2:$F$71,6,FALSE),"")</x:f>
      </x:c>
      <x:c r="I37" s="22" t="str"/>
      <x:c r="J37" s="22" t="str"/>
      <x:c r="K37" s="44" t="str"/>
      <x:c r="L37" s="22" t="str"/>
    </x:row>
    <x:row r="38" ht="72" customHeight="1">
      <x:c r="A38" s="22" t="str"/>
      <x:c r="B38" s="22" t="str"/>
      <x:c r="C38" s="22" t="str"/>
      <x:c r="D38" s="22" t="str">
        <x:f>IFERROR(VLOOKUP(B38&amp;"|"&amp;C38,'_Lookup'!$A$2:$F$71,2,FALSE),"")</x:f>
      </x:c>
      <x:c r="E38" s="22" t="str">
        <x:f>IFERROR(VLOOKUP(B38&amp;"|"&amp;C38,'_Lookup'!$A$2:$F$71,3,FALSE),"")</x:f>
      </x:c>
      <x:c r="F38" s="22" t="str">
        <x:f>IFERROR(VLOOKUP(B38&amp;"|"&amp;C38,'_Lookup'!$A$2:$F$71,4,FALSE),"")</x:f>
      </x:c>
      <x:c r="G38" s="22" t="str">
        <x:f>IFERROR(VLOOKUP(B38&amp;"|"&amp;C38,'_Lookup'!$A$2:$F$71,5,FALSE),"")</x:f>
      </x:c>
      <x:c r="H38" s="22" t="str">
        <x:f>IFERROR(VLOOKUP(B38&amp;"|"&amp;C38,'_Lookup'!$A$2:$F$71,6,FALSE),"")</x:f>
      </x:c>
      <x:c r="I38" s="22" t="str"/>
      <x:c r="J38" s="22" t="str"/>
      <x:c r="K38" s="44" t="str"/>
      <x:c r="L38" s="22" t="str"/>
    </x:row>
    <x:row r="39" ht="72" customHeight="1">
      <x:c r="A39" s="22" t="str"/>
      <x:c r="B39" s="22" t="str"/>
      <x:c r="C39" s="22" t="str"/>
      <x:c r="D39" s="22" t="str">
        <x:f>IFERROR(VLOOKUP(B39&amp;"|"&amp;C39,'_Lookup'!$A$2:$F$71,2,FALSE),"")</x:f>
      </x:c>
      <x:c r="E39" s="22" t="str">
        <x:f>IFERROR(VLOOKUP(B39&amp;"|"&amp;C39,'_Lookup'!$A$2:$F$71,3,FALSE),"")</x:f>
      </x:c>
      <x:c r="F39" s="22" t="str">
        <x:f>IFERROR(VLOOKUP(B39&amp;"|"&amp;C39,'_Lookup'!$A$2:$F$71,4,FALSE),"")</x:f>
      </x:c>
      <x:c r="G39" s="22" t="str">
        <x:f>IFERROR(VLOOKUP(B39&amp;"|"&amp;C39,'_Lookup'!$A$2:$F$71,5,FALSE),"")</x:f>
      </x:c>
      <x:c r="H39" s="22" t="str">
        <x:f>IFERROR(VLOOKUP(B39&amp;"|"&amp;C39,'_Lookup'!$A$2:$F$71,6,FALSE),"")</x:f>
      </x:c>
      <x:c r="I39" s="22" t="str"/>
      <x:c r="J39" s="22" t="str"/>
      <x:c r="K39" s="44" t="str"/>
      <x:c r="L39" s="22" t="str"/>
    </x:row>
    <x:row r="40" ht="72" customHeight="1">
      <x:c r="A40" s="22" t="str"/>
      <x:c r="B40" s="22" t="str"/>
      <x:c r="C40" s="22" t="str"/>
      <x:c r="D40" s="22" t="str">
        <x:f>IFERROR(VLOOKUP(B40&amp;"|"&amp;C40,'_Lookup'!$A$2:$F$71,2,FALSE),"")</x:f>
      </x:c>
      <x:c r="E40" s="22" t="str">
        <x:f>IFERROR(VLOOKUP(B40&amp;"|"&amp;C40,'_Lookup'!$A$2:$F$71,3,FALSE),"")</x:f>
      </x:c>
      <x:c r="F40" s="22" t="str">
        <x:f>IFERROR(VLOOKUP(B40&amp;"|"&amp;C40,'_Lookup'!$A$2:$F$71,4,FALSE),"")</x:f>
      </x:c>
      <x:c r="G40" s="22" t="str">
        <x:f>IFERROR(VLOOKUP(B40&amp;"|"&amp;C40,'_Lookup'!$A$2:$F$71,5,FALSE),"")</x:f>
      </x:c>
      <x:c r="H40" s="22" t="str">
        <x:f>IFERROR(VLOOKUP(B40&amp;"|"&amp;C40,'_Lookup'!$A$2:$F$71,6,FALSE),"")</x:f>
      </x:c>
      <x:c r="I40" s="22" t="str"/>
      <x:c r="J40" s="22" t="str"/>
      <x:c r="K40" s="44" t="str"/>
      <x:c r="L40" s="22" t="str"/>
    </x:row>
    <x:row r="41" ht="72" customHeight="1">
      <x:c r="A41" s="22" t="str"/>
      <x:c r="B41" s="22" t="str"/>
      <x:c r="C41" s="22" t="str"/>
      <x:c r="D41" s="22" t="str">
        <x:f>IFERROR(VLOOKUP(B41&amp;"|"&amp;C41,'_Lookup'!$A$2:$F$71,2,FALSE),"")</x:f>
      </x:c>
      <x:c r="E41" s="22" t="str">
        <x:f>IFERROR(VLOOKUP(B41&amp;"|"&amp;C41,'_Lookup'!$A$2:$F$71,3,FALSE),"")</x:f>
      </x:c>
      <x:c r="F41" s="22" t="str">
        <x:f>IFERROR(VLOOKUP(B41&amp;"|"&amp;C41,'_Lookup'!$A$2:$F$71,4,FALSE),"")</x:f>
      </x:c>
      <x:c r="G41" s="22" t="str">
        <x:f>IFERROR(VLOOKUP(B41&amp;"|"&amp;C41,'_Lookup'!$A$2:$F$71,5,FALSE),"")</x:f>
      </x:c>
      <x:c r="H41" s="22" t="str">
        <x:f>IFERROR(VLOOKUP(B41&amp;"|"&amp;C41,'_Lookup'!$A$2:$F$71,6,FALSE),"")</x:f>
      </x:c>
      <x:c r="I41" s="22" t="str"/>
      <x:c r="J41" s="22" t="str"/>
      <x:c r="K41" s="44" t="str"/>
      <x:c r="L41" s="22" t="str"/>
    </x:row>
    <x:row r="42" ht="72" customHeight="1">
      <x:c r="A42" s="22" t="str"/>
      <x:c r="B42" s="22" t="str"/>
      <x:c r="C42" s="22" t="str"/>
      <x:c r="D42" s="22" t="str">
        <x:f>IFERROR(VLOOKUP(B42&amp;"|"&amp;C42,'_Lookup'!$A$2:$F$71,2,FALSE),"")</x:f>
      </x:c>
      <x:c r="E42" s="22" t="str">
        <x:f>IFERROR(VLOOKUP(B42&amp;"|"&amp;C42,'_Lookup'!$A$2:$F$71,3,FALSE),"")</x:f>
      </x:c>
      <x:c r="F42" s="22" t="str">
        <x:f>IFERROR(VLOOKUP(B42&amp;"|"&amp;C42,'_Lookup'!$A$2:$F$71,4,FALSE),"")</x:f>
      </x:c>
      <x:c r="G42" s="22" t="str">
        <x:f>IFERROR(VLOOKUP(B42&amp;"|"&amp;C42,'_Lookup'!$A$2:$F$71,5,FALSE),"")</x:f>
      </x:c>
      <x:c r="H42" s="22" t="str">
        <x:f>IFERROR(VLOOKUP(B42&amp;"|"&amp;C42,'_Lookup'!$A$2:$F$71,6,FALSE),"")</x:f>
      </x:c>
      <x:c r="I42" s="22" t="str"/>
      <x:c r="J42" s="22" t="str"/>
      <x:c r="K42" s="44" t="str"/>
      <x:c r="L42" s="22" t="str"/>
    </x:row>
    <x:row r="43" ht="72" customHeight="1">
      <x:c r="A43" s="22" t="str"/>
      <x:c r="B43" s="22" t="str"/>
      <x:c r="C43" s="22" t="str"/>
      <x:c r="D43" s="22" t="str">
        <x:f>IFERROR(VLOOKUP(B43&amp;"|"&amp;C43,'_Lookup'!$A$2:$F$71,2,FALSE),"")</x:f>
      </x:c>
      <x:c r="E43" s="22" t="str">
        <x:f>IFERROR(VLOOKUP(B43&amp;"|"&amp;C43,'_Lookup'!$A$2:$F$71,3,FALSE),"")</x:f>
      </x:c>
      <x:c r="F43" s="22" t="str">
        <x:f>IFERROR(VLOOKUP(B43&amp;"|"&amp;C43,'_Lookup'!$A$2:$F$71,4,FALSE),"")</x:f>
      </x:c>
      <x:c r="G43" s="22" t="str">
        <x:f>IFERROR(VLOOKUP(B43&amp;"|"&amp;C43,'_Lookup'!$A$2:$F$71,5,FALSE),"")</x:f>
      </x:c>
      <x:c r="H43" s="22" t="str">
        <x:f>IFERROR(VLOOKUP(B43&amp;"|"&amp;C43,'_Lookup'!$A$2:$F$71,6,FALSE),"")</x:f>
      </x:c>
      <x:c r="I43" s="22" t="str"/>
      <x:c r="J43" s="22" t="str"/>
      <x:c r="K43" s="44" t="str"/>
      <x:c r="L43" s="22" t="str"/>
    </x:row>
    <x:row r="44" ht="72" customHeight="1">
      <x:c r="A44" s="22" t="str"/>
      <x:c r="B44" s="22" t="str"/>
      <x:c r="C44" s="22" t="str"/>
      <x:c r="D44" s="22" t="str">
        <x:f>IFERROR(VLOOKUP(B44&amp;"|"&amp;C44,'_Lookup'!$A$2:$F$71,2,FALSE),"")</x:f>
      </x:c>
      <x:c r="E44" s="22" t="str">
        <x:f>IFERROR(VLOOKUP(B44&amp;"|"&amp;C44,'_Lookup'!$A$2:$F$71,3,FALSE),"")</x:f>
      </x:c>
      <x:c r="F44" s="22" t="str">
        <x:f>IFERROR(VLOOKUP(B44&amp;"|"&amp;C44,'_Lookup'!$A$2:$F$71,4,FALSE),"")</x:f>
      </x:c>
      <x:c r="G44" s="22" t="str">
        <x:f>IFERROR(VLOOKUP(B44&amp;"|"&amp;C44,'_Lookup'!$A$2:$F$71,5,FALSE),"")</x:f>
      </x:c>
      <x:c r="H44" s="22" t="str">
        <x:f>IFERROR(VLOOKUP(B44&amp;"|"&amp;C44,'_Lookup'!$A$2:$F$71,6,FALSE),"")</x:f>
      </x:c>
      <x:c r="I44" s="22" t="str"/>
      <x:c r="J44" s="22" t="str"/>
      <x:c r="K44" s="44" t="str"/>
      <x:c r="L44" s="22" t="str"/>
    </x:row>
    <x:row r="45" ht="72" customHeight="1">
      <x:c r="A45" s="22" t="str"/>
      <x:c r="B45" s="22" t="str"/>
      <x:c r="C45" s="22" t="str"/>
      <x:c r="D45" s="22" t="str">
        <x:f>IFERROR(VLOOKUP(B45&amp;"|"&amp;C45,'_Lookup'!$A$2:$F$71,2,FALSE),"")</x:f>
      </x:c>
      <x:c r="E45" s="22" t="str">
        <x:f>IFERROR(VLOOKUP(B45&amp;"|"&amp;C45,'_Lookup'!$A$2:$F$71,3,FALSE),"")</x:f>
      </x:c>
      <x:c r="F45" s="22" t="str">
        <x:f>IFERROR(VLOOKUP(B45&amp;"|"&amp;C45,'_Lookup'!$A$2:$F$71,4,FALSE),"")</x:f>
      </x:c>
      <x:c r="G45" s="22" t="str">
        <x:f>IFERROR(VLOOKUP(B45&amp;"|"&amp;C45,'_Lookup'!$A$2:$F$71,5,FALSE),"")</x:f>
      </x:c>
      <x:c r="H45" s="22" t="str">
        <x:f>IFERROR(VLOOKUP(B45&amp;"|"&amp;C45,'_Lookup'!$A$2:$F$71,6,FALSE),"")</x:f>
      </x:c>
      <x:c r="I45" s="22" t="str"/>
      <x:c r="J45" s="22" t="str"/>
      <x:c r="K45" s="44" t="str"/>
      <x:c r="L45" s="22" t="str"/>
    </x:row>
    <x:row r="46" ht="72" customHeight="1">
      <x:c r="A46" s="22" t="str"/>
      <x:c r="B46" s="22" t="str"/>
      <x:c r="C46" s="22" t="str"/>
      <x:c r="D46" s="22" t="str">
        <x:f>IFERROR(VLOOKUP(B46&amp;"|"&amp;C46,'_Lookup'!$A$2:$F$71,2,FALSE),"")</x:f>
      </x:c>
      <x:c r="E46" s="22" t="str">
        <x:f>IFERROR(VLOOKUP(B46&amp;"|"&amp;C46,'_Lookup'!$A$2:$F$71,3,FALSE),"")</x:f>
      </x:c>
      <x:c r="F46" s="22" t="str">
        <x:f>IFERROR(VLOOKUP(B46&amp;"|"&amp;C46,'_Lookup'!$A$2:$F$71,4,FALSE),"")</x:f>
      </x:c>
      <x:c r="G46" s="22" t="str">
        <x:f>IFERROR(VLOOKUP(B46&amp;"|"&amp;C46,'_Lookup'!$A$2:$F$71,5,FALSE),"")</x:f>
      </x:c>
      <x:c r="H46" s="22" t="str">
        <x:f>IFERROR(VLOOKUP(B46&amp;"|"&amp;C46,'_Lookup'!$A$2:$F$71,6,FALSE),"")</x:f>
      </x:c>
      <x:c r="I46" s="22" t="str"/>
      <x:c r="J46" s="22" t="str"/>
      <x:c r="K46" s="44" t="str"/>
      <x:c r="L46" s="22" t="str"/>
    </x:row>
    <x:row r="47" ht="72" customHeight="1">
      <x:c r="A47" s="22" t="str"/>
      <x:c r="B47" s="22" t="str"/>
      <x:c r="C47" s="22" t="str"/>
      <x:c r="D47" s="22" t="str">
        <x:f>IFERROR(VLOOKUP(B47&amp;"|"&amp;C47,'_Lookup'!$A$2:$F$71,2,FALSE),"")</x:f>
      </x:c>
      <x:c r="E47" s="22" t="str">
        <x:f>IFERROR(VLOOKUP(B47&amp;"|"&amp;C47,'_Lookup'!$A$2:$F$71,3,FALSE),"")</x:f>
      </x:c>
      <x:c r="F47" s="22" t="str">
        <x:f>IFERROR(VLOOKUP(B47&amp;"|"&amp;C47,'_Lookup'!$A$2:$F$71,4,FALSE),"")</x:f>
      </x:c>
      <x:c r="G47" s="22" t="str">
        <x:f>IFERROR(VLOOKUP(B47&amp;"|"&amp;C47,'_Lookup'!$A$2:$F$71,5,FALSE),"")</x:f>
      </x:c>
      <x:c r="H47" s="22" t="str">
        <x:f>IFERROR(VLOOKUP(B47&amp;"|"&amp;C47,'_Lookup'!$A$2:$F$71,6,FALSE),"")</x:f>
      </x:c>
      <x:c r="I47" s="22" t="str"/>
      <x:c r="J47" s="22" t="str"/>
      <x:c r="K47" s="44" t="str"/>
      <x:c r="L47" s="22" t="str"/>
    </x:row>
    <x:row r="48" ht="72" customHeight="1">
      <x:c r="A48" s="22" t="str"/>
      <x:c r="B48" s="22" t="str"/>
      <x:c r="C48" s="22" t="str"/>
      <x:c r="D48" s="22" t="str">
        <x:f>IFERROR(VLOOKUP(B48&amp;"|"&amp;C48,'_Lookup'!$A$2:$F$71,2,FALSE),"")</x:f>
      </x:c>
      <x:c r="E48" s="22" t="str">
        <x:f>IFERROR(VLOOKUP(B48&amp;"|"&amp;C48,'_Lookup'!$A$2:$F$71,3,FALSE),"")</x:f>
      </x:c>
      <x:c r="F48" s="22" t="str">
        <x:f>IFERROR(VLOOKUP(B48&amp;"|"&amp;C48,'_Lookup'!$A$2:$F$71,4,FALSE),"")</x:f>
      </x:c>
      <x:c r="G48" s="22" t="str">
        <x:f>IFERROR(VLOOKUP(B48&amp;"|"&amp;C48,'_Lookup'!$A$2:$F$71,5,FALSE),"")</x:f>
      </x:c>
      <x:c r="H48" s="22" t="str">
        <x:f>IFERROR(VLOOKUP(B48&amp;"|"&amp;C48,'_Lookup'!$A$2:$F$71,6,FALSE),"")</x:f>
      </x:c>
      <x:c r="I48" s="22" t="str"/>
      <x:c r="J48" s="22" t="str"/>
      <x:c r="K48" s="44" t="str"/>
      <x:c r="L48" s="22" t="str"/>
    </x:row>
    <x:row r="49" ht="72" customHeight="1">
      <x:c r="A49" s="22" t="str"/>
      <x:c r="B49" s="22" t="str"/>
      <x:c r="C49" s="22" t="str"/>
      <x:c r="D49" s="22" t="str">
        <x:f>IFERROR(VLOOKUP(B49&amp;"|"&amp;C49,'_Lookup'!$A$2:$F$71,2,FALSE),"")</x:f>
      </x:c>
      <x:c r="E49" s="22" t="str">
        <x:f>IFERROR(VLOOKUP(B49&amp;"|"&amp;C49,'_Lookup'!$A$2:$F$71,3,FALSE),"")</x:f>
      </x:c>
      <x:c r="F49" s="22" t="str">
        <x:f>IFERROR(VLOOKUP(B49&amp;"|"&amp;C49,'_Lookup'!$A$2:$F$71,4,FALSE),"")</x:f>
      </x:c>
      <x:c r="G49" s="22" t="str">
        <x:f>IFERROR(VLOOKUP(B49&amp;"|"&amp;C49,'_Lookup'!$A$2:$F$71,5,FALSE),"")</x:f>
      </x:c>
      <x:c r="H49" s="22" t="str">
        <x:f>IFERROR(VLOOKUP(B49&amp;"|"&amp;C49,'_Lookup'!$A$2:$F$71,6,FALSE),"")</x:f>
      </x:c>
      <x:c r="I49" s="22" t="str"/>
      <x:c r="J49" s="22" t="str"/>
      <x:c r="K49" s="44" t="str"/>
      <x:c r="L49" s="22" t="str"/>
    </x:row>
    <x:row r="50" ht="72" customHeight="1">
      <x:c r="A50" s="22" t="str"/>
      <x:c r="B50" s="22" t="str"/>
      <x:c r="C50" s="22" t="str"/>
      <x:c r="D50" s="22" t="str">
        <x:f>IFERROR(VLOOKUP(B50&amp;"|"&amp;C50,'_Lookup'!$A$2:$F$71,2,FALSE),"")</x:f>
      </x:c>
      <x:c r="E50" s="22" t="str">
        <x:f>IFERROR(VLOOKUP(B50&amp;"|"&amp;C50,'_Lookup'!$A$2:$F$71,3,FALSE),"")</x:f>
      </x:c>
      <x:c r="F50" s="22" t="str">
        <x:f>IFERROR(VLOOKUP(B50&amp;"|"&amp;C50,'_Lookup'!$A$2:$F$71,4,FALSE),"")</x:f>
      </x:c>
      <x:c r="G50" s="22" t="str">
        <x:f>IFERROR(VLOOKUP(B50&amp;"|"&amp;C50,'_Lookup'!$A$2:$F$71,5,FALSE),"")</x:f>
      </x:c>
      <x:c r="H50" s="22" t="str">
        <x:f>IFERROR(VLOOKUP(B50&amp;"|"&amp;C50,'_Lookup'!$A$2:$F$71,6,FALSE),"")</x:f>
      </x:c>
      <x:c r="I50" s="22" t="str"/>
      <x:c r="J50" s="22" t="str"/>
      <x:c r="K50" s="44" t="str"/>
      <x:c r="L50" s="22" t="str"/>
    </x:row>
    <x:row r="51" ht="72" customHeight="1">
      <x:c r="A51" s="22" t="str"/>
      <x:c r="B51" s="22" t="str"/>
      <x:c r="C51" s="22" t="str"/>
      <x:c r="D51" s="22" t="str">
        <x:f>IFERROR(VLOOKUP(B51&amp;"|"&amp;C51,'_Lookup'!$A$2:$F$71,2,FALSE),"")</x:f>
      </x:c>
      <x:c r="E51" s="22" t="str">
        <x:f>IFERROR(VLOOKUP(B51&amp;"|"&amp;C51,'_Lookup'!$A$2:$F$71,3,FALSE),"")</x:f>
      </x:c>
      <x:c r="F51" s="22" t="str">
        <x:f>IFERROR(VLOOKUP(B51&amp;"|"&amp;C51,'_Lookup'!$A$2:$F$71,4,FALSE),"")</x:f>
      </x:c>
      <x:c r="G51" s="22" t="str">
        <x:f>IFERROR(VLOOKUP(B51&amp;"|"&amp;C51,'_Lookup'!$A$2:$F$71,5,FALSE),"")</x:f>
      </x:c>
      <x:c r="H51" s="22" t="str">
        <x:f>IFERROR(VLOOKUP(B51&amp;"|"&amp;C51,'_Lookup'!$A$2:$F$71,6,FALSE),"")</x:f>
      </x:c>
      <x:c r="I51" s="22" t="str"/>
      <x:c r="J51" s="22" t="str"/>
      <x:c r="K51" s="44" t="str"/>
      <x:c r="L51" s="22" t="str"/>
    </x:row>
    <x:row r="52" ht="72" customHeight="1">
      <x:c r="A52" s="22" t="str"/>
      <x:c r="B52" s="22" t="str"/>
      <x:c r="C52" s="22" t="str"/>
      <x:c r="D52" s="22" t="str">
        <x:f>IFERROR(VLOOKUP(B52&amp;"|"&amp;C52,'_Lookup'!$A$2:$F$71,2,FALSE),"")</x:f>
      </x:c>
      <x:c r="E52" s="22" t="str">
        <x:f>IFERROR(VLOOKUP(B52&amp;"|"&amp;C52,'_Lookup'!$A$2:$F$71,3,FALSE),"")</x:f>
      </x:c>
      <x:c r="F52" s="22" t="str">
        <x:f>IFERROR(VLOOKUP(B52&amp;"|"&amp;C52,'_Lookup'!$A$2:$F$71,4,FALSE),"")</x:f>
      </x:c>
      <x:c r="G52" s="22" t="str">
        <x:f>IFERROR(VLOOKUP(B52&amp;"|"&amp;C52,'_Lookup'!$A$2:$F$71,5,FALSE),"")</x:f>
      </x:c>
      <x:c r="H52" s="22" t="str">
        <x:f>IFERROR(VLOOKUP(B52&amp;"|"&amp;C52,'_Lookup'!$A$2:$F$71,6,FALSE),"")</x:f>
      </x:c>
      <x:c r="I52" s="22" t="str"/>
      <x:c r="J52" s="22" t="str"/>
      <x:c r="K52" s="44" t="str"/>
      <x:c r="L52" s="22" t="str"/>
    </x:row>
  </x:sheetData>
  <x:mergeCells>
    <x:mergeCell ref="A1:L1"/>
  </x:mergeCells>
  <x:conditionalFormatting sqref="A3:L52">
    <x:cfRule type="expression" dxfId="15" priority="1">
      <x:formula>AND($C3&lt;&gt;"",$C3=0)</x:formula>
    </x:cfRule>
    <x:cfRule type="expression" dxfId="16" priority="2">
      <x:formula>AND($C3&lt;&gt;"",$C3=1)</x:formula>
    </x:cfRule>
    <x:cfRule type="expression" dxfId="17" priority="3">
      <x:formula>AND($C3&lt;&gt;"",$C3=2)</x:formula>
    </x:cfRule>
    <x:cfRule type="expression" dxfId="18" priority="4">
      <x:formula>AND($C3&lt;&gt;"",$C3=3)</x:formula>
    </x:cfRule>
    <x:cfRule type="expression" dxfId="19" priority="5">
      <x:formula>AND($C3&lt;&gt;"",$C3=4)</x:formula>
    </x:cfRule>
  </x:conditionalFormatting>
  <x:dataValidations count="3">
    <x:dataValidation type="list" sqref="B3:B52">
      <x:formula1>'_Lookup'!$H$2:$H$15</x:formula1>
    </x:dataValidation>
    <x:dataValidation type="list" sqref="C3:C52">
      <x:formula1>'_Lookup'!$I$2:$I$6</x:formula1>
    </x:dataValidation>
    <x:dataValidation type="list" sqref="L3:L52">
      <x:formula1>'_Lookup'!$J$2:$J$4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eef9878b5f2461b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0" hidden="0" customWidth="1"/>
    <x:col min="3" max="3" width="9" hidden="0" customWidth="1"/>
    <x:col min="4" max="4" width="38" hidden="0" customWidth="1"/>
    <x:col min="5" max="5" width="48" hidden="0" customWidth="1"/>
    <x:col min="6" max="6" width="48" hidden="0" customWidth="1"/>
    <x:col min="7" max="7" width="24" hidden="0" customWidth="1"/>
    <x:col min="8" max="8" width="22" hidden="0" customWidth="1"/>
    <x:col min="9" max="9" width="38" hidden="0" customWidth="1"/>
    <x:col min="10" max="10" width="40" hidden="0" customWidth="1"/>
  </x:cols>
  <x:sheetData>
    <x:row r="1">
      <x:c r="A1" s="49" t="str">
        <x:v>Domain Code</x:v>
      </x:c>
      <x:c r="B1" s="49" t="str">
        <x:v>Approved v4.2 Domain</x:v>
      </x:c>
      <x:c r="C1" s="49" t="str">
        <x:v>AS Level</x:v>
      </x:c>
      <x:c r="D1" s="49" t="str">
        <x:v>Default Goal / Preference</x:v>
      </x:c>
      <x:c r="E1" s="49" t="str">
        <x:v>Caregiver Tasks / Interventions</x:v>
      </x:c>
      <x:c r="F1" s="49" t="str">
        <x:v>Nurse Tasks / Oversight</x:v>
      </x:c>
      <x:c r="G1" s="49" t="str">
        <x:v>Suggested Frequency / Trigger</x:v>
      </x:c>
      <x:c r="H1" s="49" t="str">
        <x:v>Care Event Type</x:v>
      </x:c>
      <x:c r="I1" s="49" t="str">
        <x:v>Escalation / Reassessment Trigger</x:v>
      </x:c>
      <x:c r="J1" s="49" t="str">
        <x:v>Activation Rule</x:v>
      </x:c>
    </x:row>
    <x:row r="2" ht="72" customHeight="1">
      <x:c r="A2" s="47" t="str">
        <x:v>AS-01</x:v>
      </x:c>
      <x:c r="B2" s="47" t="str">
        <x:v>ADLs / Personal Care</x:v>
      </x:c>
      <x:c r="C2" s="47" t="n">
        <x:v>0</x:v>
      </x:c>
      <x:c r="D2" s="47" t="str">
        <x:v>Maintain independence with personal care and respect the resident’s preferred routines, timing and choices.</x:v>
      </x:c>
      <x:c r="E2" s="47" t="str">
        <x:v>• Allow resident to complete bathing, dressing, grooming, toileting and eating independently.
• Set out preferred toiletries/clothing only if requested.
• Respect usual timing, sequence, privacy and cultural preferences.
• Observe for new difficulty, fatigue, pain or decline during self-care.</x:v>
      </x:c>
      <x:c r="F2" s="47" t="str">
        <x:v>Confirm baseline and review only when a change or exception is reported. Validate functional assistance level; review pain, fatigue, skin findings and change from baseline.</x:v>
      </x:c>
      <x:c r="G2" s="47" t="str">
        <x:v>Routine observation; assistance only on request</x:v>
      </x:c>
      <x:c r="H2" s="47" t="str">
        <x:v>Scheduled routine</x:v>
      </x:c>
      <x:c r="I2" s="47" t="str">
        <x:v>New hands-on assistance, repeated missed hygiene, pain, fatigue or safety concern.</x:v>
      </x:c>
      <x:c r="J2" s="47" t="str">
        <x:v>Recommend only when the assessed need is active and requires staff action; nurse individualizes and approves before activation.</x:v>
      </x:c>
    </x:row>
    <x:row r="3" ht="72" customHeight="1">
      <x:c r="A3" s="47" t="str">
        <x:v>AS-01</x:v>
      </x:c>
      <x:c r="B3" s="47" t="str">
        <x:v>ADLs / Personal Care</x:v>
      </x:c>
      <x:c r="C3" s="47" t="n">
        <x:v>1</x:v>
      </x:c>
      <x:c r="D3" s="47" t="str">
        <x:v>Maintain independence with self-care, providing occasional setup or cueing as needed while respecting preferred routines and choices.</x:v>
      </x:c>
      <x:c r="E3" s="47" t="str">
        <x:v>• Provide setup for selected ADLs (e.g., clothing, toiletries, meal tray).
• Give one-step reminders or verbal cueing only when needed.
• Encourage resident to complete remaining steps independently.
• Document which ADLs needed cueing/setup and any change from baseline.</x:v>
      </x:c>
      <x:c r="F3" s="47" t="str">
        <x:v>Confirm the individualized plan and review recurring exceptions. Validate functional assistance level; review pain, fatigue, skin findings and change from baseline.</x:v>
      </x:c>
      <x:c r="G3" s="47" t="str">
        <x:v>Per ADL episode; document exceptions</x:v>
      </x:c>
      <x:c r="H3" s="47" t="str">
        <x:v>Scheduled routine</x:v>
      </x:c>
      <x:c r="I3" s="47" t="str">
        <x:v>Need for regular physical help, repeated incomplete ADLs or increased fatigue.</x:v>
      </x:c>
      <x:c r="J3" s="47" t="str">
        <x:v>Recommend only when the assessed need is active and requires staff action; nurse individualizes and approves before activation.</x:v>
      </x:c>
    </x:row>
    <x:row r="4" ht="72" customHeight="1">
      <x:c r="A4" s="47" t="str">
        <x:v>AS-01</x:v>
      </x:c>
      <x:c r="B4" s="47" t="str">
        <x:v>ADLs / Personal Care</x:v>
      </x:c>
      <x:c r="C4" s="47" t="n">
        <x:v>2</x:v>
      </x:c>
      <x:c r="D4" s="47" t="str">
        <x:v>Maximize participation in personal care while providing regular hands-on assistance as needed. Maintain privacy, dignity and preferred routines.</x:v>
      </x:c>
      <x:c r="E4" s="47" t="str">
        <x:v>• Provide hands-on help for identified ADLs while allowing resident to perform safe steps.
• Use agreed transfer/body mechanics during bathing, dressing and toileting.
• Offer simple choices for clothing, grooming and timing.
• Check skin and comfort during personal care and report concerns.</x:v>
      </x:c>
      <x:c r="F4" s="47" t="str">
        <x:v>Establish planned monitoring and review trends at least daily or as ordered. Validate functional assistance level; review pain, fatigue, skin findings and change from baseline.</x:v>
      </x:c>
      <x:c r="G4" s="47" t="str">
        <x:v>Regularly during identified ADLs</x:v>
      </x:c>
      <x:c r="H4" s="47" t="str">
        <x:v>Scheduled routine</x:v>
      </x:c>
      <x:c r="I4" s="47" t="str">
        <x:v>Assistance expands to multiple ADLs, two-person help becomes necessary, or resident cannot participate safely.</x:v>
      </x:c>
      <x:c r="J4" s="47" t="str">
        <x:v>Recommend only when the assessed need is active and requires staff action; nurse individualizes and approves before activation.</x:v>
      </x:c>
    </x:row>
    <x:row r="5" ht="72" customHeight="1">
      <x:c r="A5" s="47" t="str">
        <x:v>AS-01</x:v>
      </x:c>
      <x:c r="B5" s="47" t="str">
        <x:v>ADLs / Personal Care</x:v>
      </x:c>
      <x:c r="C5" s="47" t="n">
        <x:v>3</x:v>
      </x:c>
      <x:c r="D5" s="47" t="str">
        <x:v>Encourage the resident to participate in personal care to the extent safely possible while providing extensive assistance across needed ADLs. Preserve dignity and personal choices.</x:v>
      </x:c>
      <x:c r="E5" s="47" t="str">
        <x:v>• Provide extensive hands-on assistance across multiple ADLs using a consistent sequence.
• Prepare all supplies before care and cluster tasks to reduce fatigue.
• Encourage participation in any safe step (face washing, arm through sleeve, self-feeding portions).
• Complete post-care comfort, hygiene and skin checks.</x:v>
      </x:c>
      <x:c r="F5" s="47" t="str">
        <x:v>Review each shift/day according to risk, coordinate interventions, and reassess deterioration. Validate functional assistance level; review pain, fatigue, skin findings and change from baseline.</x:v>
      </x:c>
      <x:c r="G5" s="47" t="str">
        <x:v>Each personal-care episode; structured routine</x:v>
      </x:c>
      <x:c r="H5" s="47" t="str">
        <x:v>Scheduled routine</x:v>
      </x:c>
      <x:c r="I5" s="47" t="str">
        <x:v>Near-total dependence, distress with care, new swallowing/feeding dependence or care exceeds staffing plan.</x:v>
      </x:c>
      <x:c r="J5" s="47" t="str">
        <x:v>Recommend only when the assessed need is active and requires staff action; nurse individualizes and approves before activation.</x:v>
      </x:c>
    </x:row>
    <x:row r="6" ht="72" customHeight="1">
      <x:c r="A6" s="47" t="str">
        <x:v>AS-01</x:v>
      </x:c>
      <x:c r="B6" s="47" t="str">
        <x:v>ADLs / Personal Care</x:v>
      </x:c>
      <x:c r="C6" s="47" t="n">
        <x:v>4</x:v>
      </x:c>
      <x:c r="D6" s="47" t="str">
        <x:v>Maintain comfort, dignity and personal preferences during all personal care. Encourage any safe participation despite extensive dependence.</x:v>
      </x:c>
      <x:c r="E6" s="47" t="str">
        <x:v>• Provide near-total/total assistance for personal care while protecting privacy and dignity.
• Use two-person/mechanical assistance when required by the care plan and trained staff.
• Reposition and provide comfort measures during/after care.
• Offer meaningful choices and observe non-verbal signs of pain or distress.</x:v>
      </x:c>
      <x:c r="F6" s="47" t="str">
        <x:v>Provide intensive nursing oversight; review each shift and evaluate MLR, DT-013, DT-014 and service capability. Validate functional assistance level; review pain, fatigue, skin findings and change from baseline.</x:v>
      </x:c>
      <x:c r="G6" s="47" t="str">
        <x:v>Every ADL episode; high-frequency care</x:v>
      </x:c>
      <x:c r="H6" s="47" t="str">
        <x:v>Scheduled routine</x:v>
      </x:c>
      <x:c r="I6" s="47" t="str">
        <x:v>Pain, skin breakdown, recurrent care refusal, unsafe transfer needs or needs beyond service capability.</x:v>
      </x:c>
      <x:c r="J6" s="47" t="str">
        <x:v>Recommend only when the assessed need is active and requires staff action; nurse individualizes and approves before activation.</x:v>
      </x:c>
    </x:row>
    <x:row r="7" ht="72" customHeight="1">
      <x:c r="A7" s="47" t="str">
        <x:v>AS-02</x:v>
      </x:c>
      <x:c r="B7" s="47" t="str">
        <x:v>Mobility / Transfers</x:v>
      </x:c>
      <x:c r="C7" s="47" t="n">
        <x:v>0</x:v>
      </x:c>
      <x:c r="D7" s="47" t="str">
        <x:v>Maintain safe, independent mobility and transfers at the resident’s preferred pace and routine.</x:v>
      </x:c>
      <x:c r="E7" s="47" t="str">
        <x:v>• Encourage independent walking and transfers at usual pace.
• Keep usual mobility route uncluttered and footwear accessible.
• Ensure commonly used items are within safe reach.
• Observe for new gait, endurance or transfer changes.</x:v>
      </x:c>
      <x:c r="F7" s="47" t="str">
        <x:v>Confirm baseline and review only when a change or exception is reported. Assess gait, transfers and tolerance; approve safe-handling technique/equipment and coordinate PT/OT when indicated.</x:v>
      </x:c>
      <x:c r="G7" s="47" t="str">
        <x:v>Routine observation</x:v>
      </x:c>
      <x:c r="H7" s="47" t="str">
        <x:v>Scheduled routine</x:v>
      </x:c>
      <x:c r="I7" s="47" t="str">
        <x:v>New unsteadiness, fall/near-fall, dizziness or need for physical assistance.</x:v>
      </x:c>
      <x:c r="J7" s="47" t="str">
        <x:v>Recommend only when the assessed need is active and requires staff action; nurse individualizes and approves before activation.</x:v>
      </x:c>
    </x:row>
    <x:row r="8" ht="72" customHeight="1">
      <x:c r="A8" s="47" t="str">
        <x:v>AS-02</x:v>
      </x:c>
      <x:c r="B8" s="47" t="str">
        <x:v>Mobility / Transfers</x:v>
      </x:c>
      <x:c r="C8" s="47" t="n">
        <x:v>1</x:v>
      </x:c>
      <x:c r="D8" s="47" t="str">
        <x:v>Maintain safe mobility with appropriate device, setup or intermittent standby assistance while preserving independence.</x:v>
      </x:c>
      <x:c r="E8" s="47" t="str">
        <x:v>• Set up prescribed mobility device before ambulation.
• Provide standby assistance for transfers or longer walks as identified.
• Remind resident to use device/handrails and appropriate footwear.
• Document episodes requiring more than standby help.</x:v>
      </x:c>
      <x:c r="F8" s="47" t="str">
        <x:v>Confirm the individualized plan and review recurring exceptions. Assess gait, transfers and tolerance; approve safe-handling technique/equipment and coordinate PT/OT when indicated.</x:v>
      </x:c>
      <x:c r="G8" s="47" t="str">
        <x:v>Intermittent / identified activities</x:v>
      </x:c>
      <x:c r="H8" s="47" t="str">
        <x:v>Scheduled routine</x:v>
      </x:c>
      <x:c r="I8" s="47" t="str">
        <x:v>Recurring contact guard, transfer difficulty, near-falls or reduced endurance.</x:v>
      </x:c>
      <x:c r="J8" s="47" t="str">
        <x:v>Recommend only when the assessed need is active and requires staff action; nurse individualizes and approves before activation.</x:v>
      </x:c>
    </x:row>
    <x:row r="9" ht="72" customHeight="1">
      <x:c r="A9" s="47" t="str">
        <x:v>AS-02</x:v>
      </x:c>
      <x:c r="B9" s="47" t="str">
        <x:v>Mobility / Transfers</x:v>
      </x:c>
      <x:c r="C9" s="47" t="n">
        <x:v>2</x:v>
      </x:c>
      <x:c r="D9" s="47" t="str">
        <x:v>Promote safe mobility and transfers with supervision, contact guard or minimal assistance as needed. Encourage active participation and independence.</x:v>
      </x:c>
      <x:c r="E9" s="47" t="str">
        <x:v>• Provide recurring supervision/contact guard or minimal assist for transfers and ambulation.
• Use the same transfer technique and cue sequence across staff.
• Position mobility device correctly before standing/sitting.
• Monitor gait, balance, fatigue and dizziness during mobility.</x:v>
      </x:c>
      <x:c r="F9" s="47" t="str">
        <x:v>Establish planned monitoring and review trends at least daily or as ordered. Assess gait, transfers and tolerance; approve safe-handling technique/equipment and coordinate PT/OT when indicated.</x:v>
      </x:c>
      <x:c r="G9" s="47" t="str">
        <x:v>Each identified transfer/walk</x:v>
      </x:c>
      <x:c r="H9" s="47" t="str">
        <x:v>Scheduled routine</x:v>
      </x:c>
      <x:c r="I9" s="47" t="str">
        <x:v>Need for substantial physical help, two-person transfer, recurrent buckling or falls.</x:v>
      </x:c>
      <x:c r="J9" s="47" t="str">
        <x:v>Recommend only when the assessed need is active and requires staff action; nurse individualizes and approves before activation.</x:v>
      </x:c>
    </x:row>
    <x:row r="10" ht="72" customHeight="1">
      <x:c r="A10" s="47" t="str">
        <x:v>AS-02</x:v>
      </x:c>
      <x:c r="B10" s="47" t="str">
        <x:v>Mobility / Transfers</x:v>
      </x:c>
      <x:c r="C10" s="47" t="n">
        <x:v>3</x:v>
      </x:c>
      <x:c r="D10" s="47" t="str">
        <x:v>Maintain safe mobility and transfers using the established assistance level, technique and equipment while encouraging participation as tolerated.</x:v>
      </x:c>
      <x:c r="E10" s="47" t="str">
        <x:v>• Provide substantial physical assistance for transfers and frequent mobility help.
• Use gait belt/device only if approved by policy/care plan and staff are trained.
• Plan toileting/meals to reduce unnecessary high-risk transfers.
• Coordinate mobility technique with nurse/PT/OT and document tolerance.</x:v>
      </x:c>
      <x:c r="F10" s="47" t="str">
        <x:v>Review each shift/day according to risk, coordinate interventions, and reassess deterioration. Assess gait, transfers and tolerance; approve safe-handling technique/equipment and coordinate PT/OT when indicated.</x:v>
      </x:c>
      <x:c r="G10" s="47" t="str">
        <x:v>Frequent; most transfers/mobility episodes</x:v>
      </x:c>
      <x:c r="H10" s="47" t="str">
        <x:v>Scheduled routine</x:v>
      </x:c>
      <x:c r="I10" s="47" t="str">
        <x:v>Unsafe one-person transfer, rapid decline, new neurologic deficit or inability to bear weight.</x:v>
      </x:c>
      <x:c r="J10" s="47" t="str">
        <x:v>Recommend only when the assessed need is active and requires staff action; nurse individualizes and approves before activation.</x:v>
      </x:c>
    </x:row>
    <x:row r="11" ht="72" customHeight="1">
      <x:c r="A11" s="47" t="str">
        <x:v>AS-02</x:v>
      </x:c>
      <x:c r="B11" s="47" t="str">
        <x:v>Mobility / Transfers</x:v>
      </x:c>
      <x:c r="C11" s="47" t="n">
        <x:v>4</x:v>
      </x:c>
      <x:c r="D11" s="47" t="str">
        <x:v>Ensure safe and comfortable transfers and mobility with extensive assistance while preserving dignity, comfort and any remaining functional ability.</x:v>
      </x:c>
      <x:c r="E11" s="47" t="str">
        <x:v>• Provide extensive transfer/mobility support according to the established safe-handling plan.
• Use mechanical/two-person transfer when required and available within capability.
• Reposition regularly and support comfort in bed/chair.
• Check for pain, skin pressure and tolerance after transfers.</x:v>
      </x:c>
      <x:c r="F11" s="47" t="str">
        <x:v>Provide intensive nursing oversight; review each shift and evaluate MLR, DT-013, DT-014 and service capability. Assess gait, transfers and tolerance; approve safe-handling technique/equipment and coordinate PT/OT when indicated.</x:v>
      </x:c>
      <x:c r="G11" s="47" t="str">
        <x:v>Every transfer/repositioning episode</x:v>
      </x:c>
      <x:c r="H11" s="47" t="str">
        <x:v>Scheduled routine</x:v>
      </x:c>
      <x:c r="I11" s="47" t="str">
        <x:v>New pain/injury, inability to transfer safely with current resources or equipment failure.</x:v>
      </x:c>
      <x:c r="J11" s="47" t="str">
        <x:v>Recommend only when the assessed need is active and requires staff action; nurse individualizes and approves before activation.</x:v>
      </x:c>
    </x:row>
    <x:row r="12" ht="72" customHeight="1">
      <x:c r="A12" s="47" t="str">
        <x:v>AS-03</x:v>
      </x:c>
      <x:c r="B12" s="47" t="str">
        <x:v>Fall Risk</x:v>
      </x:c>
      <x:c r="C12" s="47" t="n">
        <x:v>0</x:v>
      </x:c>
      <x:c r="D12" s="47" t="str">
        <x:v>Maintain safe independent mobility using routine fall-prevention measures and a safe environment.</x:v>
      </x:c>
      <x:c r="E12" s="47" t="str">
        <x:v>• Maintain clear pathways, adequate lighting and safe footwear.
• Keep call system/personal items within reach.
• Encourage usual safe mobility habits.
• Record any new fall or near-fall.</x:v>
      </x:c>
      <x:c r="F12" s="47" t="str">
        <x:v>Confirm baseline and review only when a change or exception is reported. Review falls/near-falls and contributing clinical, medication and environmental factors; update prevention plan.</x:v>
      </x:c>
      <x:c r="G12" s="47" t="str">
        <x:v>Routine prevention</x:v>
      </x:c>
      <x:c r="H12" s="47" t="str">
        <x:v>Routine + trigger-based</x:v>
      </x:c>
      <x:c r="I12" s="47" t="str">
        <x:v>Any fall/near-fall or newly identified fall-risk factor.</x:v>
      </x:c>
      <x:c r="J12" s="47" t="str">
        <x:v>Recommend only when the assessed need is active and requires staff action; nurse individualizes and approves before activation.</x:v>
      </x:c>
    </x:row>
    <x:row r="13" ht="72" customHeight="1">
      <x:c r="A13" s="47" t="str">
        <x:v>AS-03</x:v>
      </x:c>
      <x:c r="B13" s="47" t="str">
        <x:v>Fall Risk</x:v>
      </x:c>
      <x:c r="C13" s="47" t="n">
        <x:v>1</x:v>
      </x:c>
      <x:c r="D13" s="47" t="str">
        <x:v>Maintain safe mobility and prevent falls through routine precautions while preserving independence.</x:v>
      </x:c>
      <x:c r="E13" s="47" t="str">
        <x:v>• Complete routine fall-prevention check each shift/day per policy.
• Remind resident to use mobility device and avoid rushing.
• Ensure room/bathroom setup supports safe movement.
• Review any near-fall for contributing factors.</x:v>
      </x:c>
      <x:c r="F13" s="47" t="str">
        <x:v>Confirm the individualized plan and review recurring exceptions. Review falls/near-falls and contributing clinical, medication and environmental factors; update prevention plan.</x:v>
      </x:c>
      <x:c r="G13" s="47" t="str">
        <x:v>Routine; after any near-fall</x:v>
      </x:c>
      <x:c r="H13" s="47" t="str">
        <x:v>Routine + trigger-based</x:v>
      </x:c>
      <x:c r="I13" s="47" t="str">
        <x:v>Repeated near-falls, new gait/balance concern or need for individualized precautions.</x:v>
      </x:c>
      <x:c r="J13" s="47" t="str">
        <x:v>Recommend only when the assessed need is active and requires staff action; nurse individualizes and approves before activation.</x:v>
      </x:c>
    </x:row>
    <x:row r="14" ht="72" customHeight="1">
      <x:c r="A14" s="47" t="str">
        <x:v>AS-03</x:v>
      </x:c>
      <x:c r="B14" s="47" t="str">
        <x:v>Fall Risk</x:v>
      </x:c>
      <x:c r="C14" s="47" t="n">
        <x:v>2</x:v>
      </x:c>
      <x:c r="D14" s="47" t="str">
        <x:v>Reduce fall risk through individualized precautions, appropriate assistance and monitoring of gait, balance and contributing factors.</x:v>
      </x:c>
      <x:c r="E14" s="47" t="str">
        <x:v>• Implement individualized fall precautions documented in the care plan.
• Provide assistance for identified high-risk activities (toileting, transfers, showering).
• Monitor gait, balance, footwear, device use and environmental contributors.
• Review medications/clinical contributors with nurse when risk changes.</x:v>
      </x:c>
      <x:c r="F14" s="47" t="str">
        <x:v>Establish planned monitoring and review trends at least daily or as ordered. Review falls/near-falls and contributing clinical, medication and environmental factors; update prevention plan.</x:v>
      </x:c>
      <x:c r="G14" s="47" t="str">
        <x:v>Regular; each risk activity</x:v>
      </x:c>
      <x:c r="H14" s="47" t="str">
        <x:v>Routine + trigger-based</x:v>
      </x:c>
      <x:c r="I14" s="47" t="str">
        <x:v>Fall with injury, increasing supervision need, acute confusion or recurrent unsafe mobility.</x:v>
      </x:c>
      <x:c r="J14" s="47" t="str">
        <x:v>Recommend only when the assessed need is active and requires staff action; nurse individualizes and approves before activation.</x:v>
      </x:c>
    </x:row>
    <x:row r="15" ht="72" customHeight="1">
      <x:c r="A15" s="47" t="str">
        <x:v>AS-03</x:v>
      </x:c>
      <x:c r="B15" s="47" t="str">
        <x:v>Fall Risk</x:v>
      </x:c>
      <x:c r="C15" s="47" t="n">
        <x:v>3</x:v>
      </x:c>
      <x:c r="D15" s="47" t="str">
        <x:v>Prevent falls and injury through regular supervision or assistance during identified risk activities while supporting safe mobility.</x:v>
      </x:c>
      <x:c r="E15" s="47" t="str">
        <x:v>• Provide regular supervision/assistance during mobility and identified risk periods.
• Schedule proactive toileting and respond promptly to mobility needs.
• Use individualized cues/redirection to prevent unsafe unassisted movement.
• Complete post-fall/near-fall review and update interventions.</x:v>
      </x:c>
      <x:c r="F15" s="47" t="str">
        <x:v>Review each shift/day according to risk, coordinate interventions, and reassess deterioration. Review falls/near-falls and contributing clinical, medication and environmental factors; update prevention plan.</x:v>
      </x:c>
      <x:c r="G15" s="47" t="str">
        <x:v>Frequent; high-risk periods</x:v>
      </x:c>
      <x:c r="H15" s="47" t="str">
        <x:v>Routine + trigger-based</x:v>
      </x:c>
      <x:c r="I15" s="47" t="str">
        <x:v>Recurrent falls despite plan, new injury, significant decline or need for near-continuous supervision.</x:v>
      </x:c>
      <x:c r="J15" s="47" t="str">
        <x:v>Recommend only when the assessed need is active and requires staff action; nurse individualizes and approves before activation.</x:v>
      </x:c>
    </x:row>
    <x:row r="16" ht="72" customHeight="1">
      <x:c r="A16" s="47" t="str">
        <x:v>AS-03</x:v>
      </x:c>
      <x:c r="B16" s="47" t="str">
        <x:v>Fall Risk</x:v>
      </x:c>
      <x:c r="C16" s="47" t="n">
        <x:v>4</x:v>
      </x:c>
      <x:c r="D16" s="47" t="str">
        <x:v>Minimize falls and injury through intensive individualized prevention, close supervision and the least restrictive safety measures appropriate to the resident.</x:v>
      </x:c>
      <x:c r="E16" s="47" t="str">
        <x:v>• Maintain intensive individualized fall-prevention plan using least restrictive measures.
• Provide close supervision during all high-risk mobility/transfers.
• Use team handoff of current triggers, safest techniques and recent events.
• Escalate promptly after falls, head impact, acute change or inability to maintain safety.</x:v>
      </x:c>
      <x:c r="F16" s="47" t="str">
        <x:v>Provide intensive nursing oversight; review each shift and evaluate MLR, DT-013, DT-014 and service capability. Review falls/near-falls and contributing clinical, medication and environmental factors; update prevention plan.</x:v>
      </x:c>
      <x:c r="G16" s="47" t="str">
        <x:v>Very frequent / close supervision</x:v>
      </x:c>
      <x:c r="H16" s="47" t="str">
        <x:v>Routine + trigger-based</x:v>
      </x:c>
      <x:c r="I16" s="47" t="str">
        <x:v>Any serious injury, repeated uncontrolled falls or safety need beyond service capability.</x:v>
      </x:c>
      <x:c r="J16" s="47" t="str">
        <x:v>Recommend only when the assessed need is active and requires staff action; nurse individualizes and approves before activation.</x:v>
      </x:c>
    </x:row>
    <x:row r="17" ht="72" customHeight="1">
      <x:c r="A17" s="47" t="str">
        <x:v>AS-04</x:v>
      </x:c>
      <x:c r="B17" s="47" t="str">
        <x:v>Cognition / Self-Direction</x:v>
      </x:c>
      <x:c r="C17" s="47" t="n">
        <x:v>0</x:v>
      </x:c>
      <x:c r="D17" s="47" t="str">
        <x:v>Maintain autonomy, self-direction and participation in daily decisions and preferred routines.</x:v>
      </x:c>
      <x:c r="E17" s="47" t="str">
        <x:v>• Offer normal choices and involve resident directly in decisions.
• Maintain preferred routine and access to calendar/clock as desired.
• Communicate changes in schedule clearly.
• Observe for acute confusion or new memory difficulty.</x:v>
      </x:c>
      <x:c r="F17" s="47" t="str">
        <x:v>Confirm baseline and review only when a change or exception is reported. Assess cognition and decision capacity; distinguish baseline dementia from acute confusion/delirium; approve cueing and decision-support approach.</x:v>
      </x:c>
      <x:c r="G17" s="47" t="str">
        <x:v>Routine</x:v>
      </x:c>
      <x:c r="H17" s="47" t="str">
        <x:v>Routine + trigger-based</x:v>
      </x:c>
      <x:c r="I17" s="47" t="str">
        <x:v>Acute change in cognition, unsafe judgment or new difficulty self-directing care.</x:v>
      </x:c>
      <x:c r="J17" s="47" t="str">
        <x:v>Recommend only when the assessed need is active and requires staff action; nurse individualizes and approves before activation.</x:v>
      </x:c>
    </x:row>
    <x:row r="18" ht="72" customHeight="1">
      <x:c r="A18" s="47" t="str">
        <x:v>AS-04</x:v>
      </x:c>
      <x:c r="B18" s="47" t="str">
        <x:v>Cognition / Self-Direction</x:v>
      </x:c>
      <x:c r="C18" s="47" t="n">
        <x:v>1</x:v>
      </x:c>
      <x:c r="D18" s="47" t="str">
        <x:v>Support independence and orientation with occasional reminders or cueing while allowing adequate time for decision-making.</x:v>
      </x:c>
      <x:c r="E18" s="47" t="str">
        <x:v>• Give occasional reminders for appointments, meals or daily routine.
• Use one-step cueing when resident loses track of a task.
• Allow extra processing time before repeating instructions.
• Document new or increasing cueing needs.</x:v>
      </x:c>
      <x:c r="F18" s="47" t="str">
        <x:v>Confirm the individualized plan and review recurring exceptions. Assess cognition and decision capacity; distinguish baseline dementia from acute confusion/delirium; approve cueing and decision-support approach.</x:v>
      </x:c>
      <x:c r="G18" s="47" t="str">
        <x:v>Occasional / as needed</x:v>
      </x:c>
      <x:c r="H18" s="47" t="str">
        <x:v>Routine + trigger-based</x:v>
      </x:c>
      <x:c r="I18" s="47" t="str">
        <x:v>Regular reorientation becomes necessary, unsafe decisions increase or acute confusion appears.</x:v>
      </x:c>
      <x:c r="J18" s="47" t="str">
        <x:v>Recommend only when the assessed need is active and requires staff action; nurse individualizes and approves before activation.</x:v>
      </x:c>
    </x:row>
    <x:row r="19" ht="72" customHeight="1">
      <x:c r="A19" s="47" t="str">
        <x:v>AS-04</x:v>
      </x:c>
      <x:c r="B19" s="47" t="str">
        <x:v>Cognition / Self-Direction</x:v>
      </x:c>
      <x:c r="C19" s="47" t="n">
        <x:v>2</x:v>
      </x:c>
      <x:c r="D19" s="47" t="str">
        <x:v>Maintain participation in daily routines through regular cueing, reorientation and support with decisions while respecting the resident’s choices.</x:v>
      </x:c>
      <x:c r="E19" s="47" t="str">
        <x:v>• Provide regular cueing/reorientation using familiar language and routines.
• Offer limited, simple choices to preserve decision-making.
• Supervise decisions involving safety, medication and high-risk activities as care plan indicates.
• Use consistent staff approaches and document effective cues.</x:v>
      </x:c>
      <x:c r="F19" s="47" t="str">
        <x:v>Establish planned monitoring and review trends at least daily or as ordered. Assess cognition and decision capacity; distinguish baseline dementia from acute confusion/delirium; approve cueing and decision-support approach.</x:v>
      </x:c>
      <x:c r="G19" s="47" t="str">
        <x:v>Regular throughout day</x:v>
      </x:c>
      <x:c r="H19" s="47" t="str">
        <x:v>Routine + trigger-based</x:v>
      </x:c>
      <x:c r="I19" s="47" t="str">
        <x:v>Substantial impairment across multiple daily decisions, wandering/unsafe behavior or acute change.</x:v>
      </x:c>
      <x:c r="J19" s="47" t="str">
        <x:v>Recommend only when the assessed need is active and requires staff action; nurse individualizes and approves before activation.</x:v>
      </x:c>
    </x:row>
    <x:row r="20" ht="72" customHeight="1">
      <x:c r="A20" s="47" t="str">
        <x:v>AS-04</x:v>
      </x:c>
      <x:c r="B20" s="47" t="str">
        <x:v>Cognition / Self-Direction</x:v>
      </x:c>
      <x:c r="C20" s="47" t="n">
        <x:v>3</x:v>
      </x:c>
      <x:c r="D20" s="47" t="str">
        <x:v>Promote comfort and participation through structured routines, simple choices, familiar approaches and substantial support with daily-care decisions.</x:v>
      </x:c>
      <x:c r="E20" s="47" t="str">
        <x:v>• Use structured daily routine and repeated simple cues for most care activities.
• Break tasks into one-step directions and demonstrate when helpful.
• Anticipate needs when resident cannot reliably plan/sequence care.
• Record behavior/cognition patterns that affect care delivery.</x:v>
      </x:c>
      <x:c r="F20" s="47" t="str">
        <x:v>Review each shift/day according to risk, coordinate interventions, and reassess deterioration. Assess cognition and decision capacity; distinguish baseline dementia from acute confusion/delirium; approve cueing and decision-support approach.</x:v>
      </x:c>
      <x:c r="G20" s="47" t="str">
        <x:v>Frequent / most care interactions</x:v>
      </x:c>
      <x:c r="H20" s="47" t="str">
        <x:v>Routine + trigger-based</x:v>
      </x:c>
      <x:c r="I20" s="47" t="str">
        <x:v>Inability to self-direct basic care, severe distress, unsafe behavior or sudden decline.</x:v>
      </x:c>
      <x:c r="J20" s="47" t="str">
        <x:v>Recommend only when the assessed need is active and requires staff action; nurse individualizes and approves before activation.</x:v>
      </x:c>
    </x:row>
    <x:row r="21" ht="72" customHeight="1">
      <x:c r="A21" s="47" t="str">
        <x:v>AS-04</x:v>
      </x:c>
      <x:c r="B21" s="47" t="str">
        <x:v>Cognition / Self-Direction</x:v>
      </x:c>
      <x:c r="C21" s="47" t="n">
        <x:v>4</x:v>
      </x:c>
      <x:c r="D21" s="47" t="str">
        <x:v>Maintain comfort, dignity and familiarity through consistent routines, simple communication and pervasive support with daily care and decision-making.</x:v>
      </x:c>
      <x:c r="E21" s="47" t="str">
        <x:v>• Provide pervasive support for daily decisions and care sequencing.
• Use simple language, non-verbal cues and consistent familiar routines.
• Anticipate basic needs while still offering simple choices and seeking assent.
• Monitor non-verbal indicators of pain, fear, hunger or toileting need.</x:v>
      </x:c>
      <x:c r="F21" s="47" t="str">
        <x:v>Provide intensive nursing oversight; review each shift and evaluate MLR, DT-013, DT-014 and service capability. Assess cognition and decision capacity; distinguish baseline dementia from acute confusion/delirium; approve cueing and decision-support approach.</x:v>
      </x:c>
      <x:c r="G21" s="47" t="str">
        <x:v>Continuous across care day</x:v>
      </x:c>
      <x:c r="H21" s="47" t="str">
        <x:v>Routine + trigger-based</x:v>
      </x:c>
      <x:c r="I21" s="47" t="str">
        <x:v>Acute change, inability to maintain safety/comfort or support need beyond service capability.</x:v>
      </x:c>
      <x:c r="J21" s="47" t="str">
        <x:v>Recommend only when the assessed need is active and requires staff action; nurse individualizes and approves before activation.</x:v>
      </x:c>
    </x:row>
    <x:row r="22" ht="72" customHeight="1">
      <x:c r="A22" s="47" t="str">
        <x:v>AS-05</x:v>
      </x:c>
      <x:c r="B22" s="47" t="str">
        <x:v>Behavior / BPSD</x:v>
      </x:c>
      <x:c r="C22" s="47" t="n">
        <x:v>0</x:v>
      </x:c>
      <x:c r="D22" s="47" t="str">
        <x:v>Maintain emotional well-being, meaningful relationships, preferred activities and usual routines.</x:v>
      </x:c>
      <x:c r="E22" s="47" t="str">
        <x:v>• Support preferred social activities, hobbies and family contact.
• Respect privacy, coping style and desired level of engagement.
• Offer normal choices without forcing participation.
• Observe for new anxiety, withdrawal, agitation or mood change.</x:v>
      </x:c>
      <x:c r="F22" s="47" t="str">
        <x:v>Confirm baseline and review only when a change or exception is reported. Assess behavior pattern, triggers, unmet needs and possible clinical causes; approve non-pharmacologic plan and review PRN use/orders.</x:v>
      </x:c>
      <x:c r="G22" s="47" t="str">
        <x:v>Routine</x:v>
      </x:c>
      <x:c r="H22" s="47" t="str">
        <x:v>Routine + trigger-based</x:v>
      </x:c>
      <x:c r="I22" s="47" t="str">
        <x:v>Persistent mood/behavior change, safety concern or marked withdrawal.</x:v>
      </x:c>
      <x:c r="J22" s="47" t="str">
        <x:v>Recommend only when the assessed need is active and requires staff action; nurse individualizes and approves before activation.</x:v>
      </x:c>
    </x:row>
    <x:row r="23" ht="72" customHeight="1">
      <x:c r="A23" s="47" t="str">
        <x:v>AS-05</x:v>
      </x:c>
      <x:c r="B23" s="47" t="str">
        <x:v>Behavior / BPSD</x:v>
      </x:c>
      <x:c r="C23" s="47" t="n">
        <x:v>1</x:v>
      </x:c>
      <x:c r="D23" s="47" t="str">
        <x:v>Maintain emotional comfort with occasional reassurance or redirection while respecting preferences and usual coping strategies.</x:v>
      </x:c>
      <x:c r="E23" s="47" t="str">
        <x:v>• Provide occasional reassurance/redirection during distress.
• Use known calming activities and preferred communication style.
• Identify and document triggers when episodes occur.
• Return resident to preferred activity/routine after distress resolves.</x:v>
      </x:c>
      <x:c r="F23" s="47" t="str">
        <x:v>Confirm the individualized plan and review recurring exceptions. Assess behavior pattern, triggers, unmet needs and possible clinical causes; approve non-pharmacologic plan and review PRN use/orders.</x:v>
      </x:c>
      <x:c r="G23" s="47" t="str">
        <x:v>As needed</x:v>
      </x:c>
      <x:c r="H23" s="47" t="str">
        <x:v>Routine + trigger-based</x:v>
      </x:c>
      <x:c r="I23" s="47" t="str">
        <x:v>Episodes become regular, interfere with care or involve aggression/self-harm risk.</x:v>
      </x:c>
      <x:c r="J23" s="47" t="str">
        <x:v>Recommend only when the assessed need is active and requires staff action; nurse individualizes and approves before activation.</x:v>
      </x:c>
    </x:row>
    <x:row r="24" ht="72" customHeight="1">
      <x:c r="A24" s="47" t="str">
        <x:v>AS-05</x:v>
      </x:c>
      <x:c r="B24" s="47" t="str">
        <x:v>Behavior / BPSD</x:v>
      </x:c>
      <x:c r="C24" s="47" t="n">
        <x:v>2</x:v>
      </x:c>
      <x:c r="D24" s="47" t="str">
        <x:v>Promote emotional stability through predictable routines, reassurance and individualized approaches that reduce known triggers and distress.</x:v>
      </x:c>
      <x:c r="E24" s="47" t="str">
        <x:v>• Maintain predictable routine and proactively reduce known triggers.
• Use individualized reassurance, redirection and de-escalation plan.
• Offer meaningful activity matched to ability and preference.
• Document antecedent, behavior, response and effective intervention.</x:v>
      </x:c>
      <x:c r="F24" s="47" t="str">
        <x:v>Establish planned monitoring and review trends at least daily or as ordered. Assess behavior pattern, triggers, unmet needs and possible clinical causes; approve non-pharmacologic plan and review PRN use/orders.</x:v>
      </x:c>
      <x:c r="G24" s="47" t="str">
        <x:v>Regular; at known trigger times</x:v>
      </x:c>
      <x:c r="H24" s="47" t="str">
        <x:v>Routine + trigger-based</x:v>
      </x:c>
      <x:c r="I24" s="47" t="str">
        <x:v>Increasing frequency/intensity, staff safety concern, care refusal with health impact or acute behavior change.</x:v>
      </x:c>
      <x:c r="J24" s="47" t="str">
        <x:v>Recommend only when the assessed need is active and requires staff action; nurse individualizes and approves before activation.</x:v>
      </x:c>
    </x:row>
    <x:row r="25" ht="72" customHeight="1">
      <x:c r="A25" s="47" t="str">
        <x:v>AS-05</x:v>
      </x:c>
      <x:c r="B25" s="47" t="str">
        <x:v>Behavior / BPSD</x:v>
      </x:c>
      <x:c r="C25" s="47" t="n">
        <x:v>3</x:v>
      </x:c>
      <x:c r="D25" s="47" t="str">
        <x:v>Reduce distress and maintain safety through frequent individualized reassurance, redirection and de-escalation while preserving dignity and choice.</x:v>
      </x:c>
      <x:c r="E25" s="47" t="str">
        <x:v>• Provide frequent individualized de-escalation/redirection and close follow-through.
• Assign consistent approaches and communicate triggers/effective responses at handoff.
• Modify environment/activity promptly when distress escalates.
• Coordinate clinical review for new or worsening behavior.</x:v>
      </x:c>
      <x:c r="F25" s="47" t="str">
        <x:v>Review each shift/day according to risk, coordinate interventions, and reassess deterioration. Assess behavior pattern, triggers, unmet needs and possible clinical causes; approve non-pharmacologic plan and review PRN use/orders.</x:v>
      </x:c>
      <x:c r="G25" s="47" t="str">
        <x:v>Frequent; structured behavior plan</x:v>
      </x:c>
      <x:c r="H25" s="47" t="str">
        <x:v>Routine + trigger-based</x:v>
      </x:c>
      <x:c r="I25" s="47" t="str">
        <x:v>Injury risk, uncontrolled aggression, rapid behavior change or need for continuous one-to-one support.</x:v>
      </x:c>
      <x:c r="J25" s="47" t="str">
        <x:v>Recommend only when the assessed need is active and requires staff action; nurse individualizes and approves before activation.</x:v>
      </x:c>
    </x:row>
    <x:row r="26" ht="72" customHeight="1">
      <x:c r="A26" s="47" t="str">
        <x:v>AS-05</x:v>
      </x:c>
      <x:c r="B26" s="47" t="str">
        <x:v>Behavior / BPSD</x:v>
      </x:c>
      <x:c r="C26" s="47" t="n">
        <x:v>4</x:v>
      </x:c>
      <x:c r="D26" s="47" t="str">
        <x:v>Maintain safety, comfort and dignity through intensive person-centered behavioral support using individualized triggers, calming strategies and the least restrictive approach.</x:v>
      </x:c>
      <x:c r="E26" s="47" t="str">
        <x:v>• Implement intensive person-centered behavior support plan using least restrictive approaches.
• Maintain high consistency of routine, staffing approach and environment.
• Use proactive comfort checks and individualized calming/sensory strategies.
• Escalate urgently when behavior suggests pain, delirium, medication effect or imminent harm.</x:v>
      </x:c>
      <x:c r="F26" s="47" t="str">
        <x:v>Provide intensive nursing oversight; review each shift and evaluate MLR, DT-013, DT-014 and service capability. Assess behavior pattern, triggers, unmet needs and possible clinical causes; approve non-pharmacologic plan and review PRN use/orders.</x:v>
      </x:c>
      <x:c r="G26" s="47" t="str">
        <x:v>Very frequent / intensive</x:v>
      </x:c>
      <x:c r="H26" s="47" t="str">
        <x:v>Routine + trigger-based</x:v>
      </x:c>
      <x:c r="I26" s="47" t="str">
        <x:v>Imminent harm, unmanageable distress or behavior needs beyond service capability.</x:v>
      </x:c>
      <x:c r="J26" s="47" t="str">
        <x:v>Recommend only when the assessed need is active and requires staff action; nurse individualizes and approves before activation.</x:v>
      </x:c>
    </x:row>
    <x:row r="27" ht="72" customHeight="1">
      <x:c r="A27" s="47" t="str">
        <x:v>AS-06</x:v>
      </x:c>
      <x:c r="B27" s="47" t="str">
        <x:v>Clinical Monitoring / Condition Management</x:v>
      </x:c>
      <x:c r="C27" s="47" t="n">
        <x:v>0</x:v>
      </x:c>
      <x:c r="D27" s="47" t="str">
        <x:v>Maintain current health and wellness through routine observation and healthy daily routines.</x:v>
      </x:c>
      <x:c r="E27" s="47" t="str">
        <x:v>• Perform routine wellness observation during normal care.
• Encourage usual hydration, nutrition, activity and rest.
• Record significant change from baseline.
• Follow routine preventive/medical appointments as scheduled.</x:v>
      </x:c>
      <x:c r="F27" s="47" t="str">
        <x:v>Confirm baseline and review only when a change or exception is reported. Set resident-specific monitoring parameters from current orders; interpret trends and manage change-of-condition escalation.</x:v>
      </x:c>
      <x:c r="G27" s="47" t="str">
        <x:v>Routine wellness checks</x:v>
      </x:c>
      <x:c r="H27" s="47" t="str">
        <x:v>Time-critical / clinical</x:v>
      </x:c>
      <x:c r="I27" s="47" t="str">
        <x:v>New symptoms, abnormal ordered readings or change in function/mental status.</x:v>
      </x:c>
      <x:c r="J27" s="47" t="str">
        <x:v>Recommend only when the assessed need is active and requires staff action; nurse individualizes and approves before activation.</x:v>
      </x:c>
    </x:row>
    <x:row r="28" ht="72" customHeight="1">
      <x:c r="A28" s="47" t="str">
        <x:v>AS-06</x:v>
      </x:c>
      <x:c r="B28" s="47" t="str">
        <x:v>Clinical Monitoring / Condition Management</x:v>
      </x:c>
      <x:c r="C28" s="47" t="n">
        <x:v>1</x:v>
      </x:c>
      <x:c r="D28" s="47" t="str">
        <x:v>Maintain stability of the identified condition through limited scheduled monitoring and timely reporting of meaningful changes.</x:v>
      </x:c>
      <x:c r="E28" s="47" t="str">
        <x:v>• Complete limited scheduled monitoring for the identified stable condition.
• Record ordered measurements and symptoms in the designated record.
• Reinforce condition-specific self-management instructions within care scope.
• Notify nurse/provider of readings/symptoms outside ordered parameters.</x:v>
      </x:c>
      <x:c r="F28" s="47" t="str">
        <x:v>Confirm the individualized plan and review recurring exceptions. Set resident-specific monitoring parameters from current orders; interpret trends and manage change-of-condition escalation.</x:v>
      </x:c>
      <x:c r="G28" s="47" t="str">
        <x:v>Scheduled, usually limited</x:v>
      </x:c>
      <x:c r="H28" s="47" t="str">
        <x:v>Time-critical / clinical</x:v>
      </x:c>
      <x:c r="I28" s="47" t="str">
        <x:v>Repeated abnormal findings, new symptoms or need for more frequent monitoring.</x:v>
      </x:c>
      <x:c r="J28" s="47" t="str">
        <x:v>Recommend only when the assessed need is active and requires staff action; nurse individualizes and approves before activation.</x:v>
      </x:c>
    </x:row>
    <x:row r="29" ht="72" customHeight="1">
      <x:c r="A29" s="47" t="str">
        <x:v>AS-06</x:v>
      </x:c>
      <x:c r="B29" s="47" t="str">
        <x:v>Clinical Monitoring / Condition Management</x:v>
      </x:c>
      <x:c r="C29" s="47" t="n">
        <x:v>2</x:v>
      </x:c>
      <x:c r="D29" s="47" t="str">
        <x:v>Maintain stability of chronic conditions through regular structured monitoring and timely coordination of care.</x:v>
      </x:c>
      <x:c r="E29" s="47" t="str">
        <x:v>• Carry out regular structured monitoring for one or more chronic conditions.
• Trend ordered readings, symptoms, weight or intake where applicable.
• Coordinate appointments/labs and ensure results/orders are communicated.
• Escalate early changes before they become acute.</x:v>
      </x:c>
      <x:c r="F29" s="47" t="str">
        <x:v>Establish planned monitoring and review trends at least daily or as ordered. Set resident-specific monitoring parameters from current orders; interpret trends and manage change-of-condition escalation.</x:v>
      </x:c>
      <x:c r="G29" s="47" t="str">
        <x:v>Regular structured schedule</x:v>
      </x:c>
      <x:c r="H29" s="47" t="str">
        <x:v>Time-critical / clinical</x:v>
      </x:c>
      <x:c r="I29" s="47" t="str">
        <x:v>Persistent abnormal readings, acute symptoms, rapid weight change, reduced intake/urine or functional decline.</x:v>
      </x:c>
      <x:c r="J29" s="47" t="str">
        <x:v>Recommend only when the assessed need is active and requires staff action; nurse individualizes and approves before activation.</x:v>
      </x:c>
    </x:row>
    <x:row r="30" ht="72" customHeight="1">
      <x:c r="A30" s="47" t="str">
        <x:v>AS-06</x:v>
      </x:c>
      <x:c r="B30" s="47" t="str">
        <x:v>Clinical Monitoring / Condition Management</x:v>
      </x:c>
      <x:c r="C30" s="47" t="n">
        <x:v>3</x:v>
      </x:c>
      <x:c r="D30" s="47" t="str">
        <x:v>Maintain clinical stability through frequent monitoring of interacting conditions, early recognition of deterioration and timely clinical coordination.</x:v>
      </x:c>
      <x:c r="E30" s="47" t="str">
        <x:v>• Perform frequent monitoring across interacting conditions using a documented schedule.
• Compare current findings with resident-specific baseline and ordered parameters.
• Coordinate medication, nutrition, hydration and appointment issues with nurse/provider.
• Provide clear shift-to-shift handoff of active clinical concerns.</x:v>
      </x:c>
      <x:c r="F30" s="47" t="str">
        <x:v>Review each shift/day according to risk, coordinate interventions, and reassess deterioration. Set resident-specific monitoring parameters from current orders; interpret trends and manage change-of-condition escalation.</x:v>
      </x:c>
      <x:c r="G30" s="47" t="str">
        <x:v>Frequent / multiple times as care plan requires</x:v>
      </x:c>
      <x:c r="H30" s="47" t="str">
        <x:v>Time-critical / clinical</x:v>
      </x:c>
      <x:c r="I30" s="47" t="str">
        <x:v>Acute deterioration, repeated out-of-range findings or need for interventions beyond service scope.</x:v>
      </x:c>
      <x:c r="J30" s="47" t="str">
        <x:v>Recommend only when the assessed need is active and requires staff action; nurse individualizes and approves before activation.</x:v>
      </x:c>
    </x:row>
    <x:row r="31" ht="72" customHeight="1">
      <x:c r="A31" s="47" t="str">
        <x:v>AS-06</x:v>
      </x:c>
      <x:c r="B31" s="47" t="str">
        <x:v>Clinical Monitoring / Condition Management</x:v>
      </x:c>
      <x:c r="C31" s="47" t="n">
        <x:v>4</x:v>
      </x:c>
      <x:c r="D31" s="47" t="str">
        <x:v>Maintain safety and clinical stability through very frequent structured monitoring, coordinated management and prompt escalation when needs approach service capability.</x:v>
      </x:c>
      <x:c r="E31" s="47" t="str">
        <x:v>• Provide very frequent structured clinical observation within service capability.
• Maintain active interdisciplinary coordination and explicit escalation thresholds.
• Document response to interventions and unresolved abnormalities.
• Initiate emergency/transfer process when criteria are met.</x:v>
      </x:c>
      <x:c r="F31" s="47" t="str">
        <x:v>Provide intensive nursing oversight; review each shift and evaluate MLR, DT-013, DT-014 and service capability. Set resident-specific monitoring parameters from current orders; interpret trends and manage change-of-condition escalation.</x:v>
      </x:c>
      <x:c r="G31" s="47" t="str">
        <x:v>Very frequent / near capability threshold</x:v>
      </x:c>
      <x:c r="H31" s="47" t="str">
        <x:v>Time-critical / clinical</x:v>
      </x:c>
      <x:c r="I31" s="47" t="str">
        <x:v>Any instability requiring hospital-level care, continuous clinical monitoring or capability exceeded.</x:v>
      </x:c>
      <x:c r="J31" s="47" t="str">
        <x:v>Recommend only when the assessed need is active and requires staff action; nurse individualizes and approves before activation.</x:v>
      </x:c>
    </x:row>
    <x:row r="32" ht="72" customHeight="1">
      <x:c r="A32" s="47" t="str">
        <x:v>AS-07</x:v>
      </x:c>
      <x:c r="B32" s="47" t="str">
        <x:v>Medication Support</x:v>
      </x:c>
      <x:c r="C32" s="47" t="n">
        <x:v>0</x:v>
      </x:c>
      <x:c r="D32" s="47" t="str">
        <x:v>Maintain safe and independent medication management according to the prescribed schedule.</x:v>
      </x:c>
      <x:c r="E32" s="47" t="str">
        <x:v>• Allow resident to self-manage medications when assessed safe and permitted.
• Keep medication routine and storage consistent with policy.
• Encourage use of personal reminder system if preferred.
• Report observed confusion, missed doses or adverse symptoms.</x:v>
      </x:c>
      <x:c r="F32" s="47" t="str">
        <x:v>Confirm baseline and review only when a change or exception is reported. Complete medication reconciliation and MAR oversight; verify administration support, effectiveness, adverse effects and prescriber follow-up.</x:v>
      </x:c>
      <x:c r="G32" s="47" t="str">
        <x:v>Resident-led; routine observation</x:v>
      </x:c>
      <x:c r="H32" s="47" t="str">
        <x:v>Time-critical / clinical</x:v>
      </x:c>
      <x:c r="I32" s="47" t="str">
        <x:v>Any missed/duplicate dose, confusion, unsafe storage or declining self-management.</x:v>
      </x:c>
      <x:c r="J32" s="47" t="str">
        <x:v>Recommend only when the assessed need is active and requires staff action; nurse individualizes and approves before activation.</x:v>
      </x:c>
    </x:row>
    <x:row r="33" ht="72" customHeight="1">
      <x:c r="A33" s="47" t="str">
        <x:v>AS-07</x:v>
      </x:c>
      <x:c r="B33" s="47" t="str">
        <x:v>Medication Support</x:v>
      </x:c>
      <x:c r="C33" s="47" t="n">
        <x:v>1</x:v>
      </x:c>
      <x:c r="D33" s="47" t="str">
        <x:v>Support medication adherence with reminders or setup as needed while maintaining as much independence as safely possible.</x:v>
      </x:c>
      <x:c r="E33" s="47" t="str">
        <x:v>• Provide reminders or setup support permitted by policy.
• Confirm resident has taken medication when supervision is part of plan.
• Maintain consistent medication timing around resident routine.
• Document refusals, omissions or unusual effects.</x:v>
      </x:c>
      <x:c r="F33" s="47" t="str">
        <x:v>Confirm the individualized plan and review recurring exceptions. Complete medication reconciliation and MAR oversight; verify administration support, effectiveness, adverse effects and prescriber follow-up.</x:v>
      </x:c>
      <x:c r="G33" s="47" t="str">
        <x:v>At medication times as needed</x:v>
      </x:c>
      <x:c r="H33" s="47" t="str">
        <x:v>Time-critical / clinical</x:v>
      </x:c>
      <x:c r="I33" s="47" t="str">
        <x:v>Repeated missed/refused doses, inability to self-administer correctly or adverse effect.</x:v>
      </x:c>
      <x:c r="J33" s="47" t="str">
        <x:v>Recommend only when the assessed need is active and requires staff action; nurse individualizes and approves before activation.</x:v>
      </x:c>
    </x:row>
    <x:row r="34" ht="72" customHeight="1">
      <x:c r="A34" s="47" t="str">
        <x:v>AS-07</x:v>
      </x:c>
      <x:c r="B34" s="47" t="str">
        <x:v>Medication Support</x:v>
      </x:c>
      <x:c r="C34" s="47" t="n">
        <x:v>2</x:v>
      </x:c>
      <x:c r="D34" s="47" t="str">
        <x:v>Ensure safe and consistent medication use with regular supervision or assistance. Monitor adherence, effects and possible side effects.</x:v>
      </x:c>
      <x:c r="E34" s="47" t="str">
        <x:v>• Provide regular medication supervision/assistance according to MAR/orders and scope.
• Check the right resident/medication/time/route per medication policy.
• Monitor for side effects, sedation, dizziness or behavior/cognition change.
• Report refusals, omissions, PRN patterns and concerns to nurse/provider.</x:v>
      </x:c>
      <x:c r="F34" s="47" t="str">
        <x:v>Establish planned monitoring and review trends at least daily or as ordered. Complete medication reconciliation and MAR oversight; verify administration support, effectiveness, adverse effects and prescriber follow-up.</x:v>
      </x:c>
      <x:c r="G34" s="47" t="str">
        <x:v>Each scheduled medication time</x:v>
      </x:c>
      <x:c r="H34" s="47" t="str">
        <x:v>Time-critical / clinical</x:v>
      </x:c>
      <x:c r="I34" s="47" t="str">
        <x:v>Medication error, repeated refusal, adverse reaction, new swallowing issue or regimen complexity increase.</x:v>
      </x:c>
      <x:c r="J34" s="47" t="str">
        <x:v>Recommend only when the assessed need is active and requires staff action; nurse individualizes and approves before activation.</x:v>
      </x:c>
    </x:row>
    <x:row r="35" ht="72" customHeight="1">
      <x:c r="A35" s="47" t="str">
        <x:v>AS-07</x:v>
      </x:c>
      <x:c r="B35" s="47" t="str">
        <x:v>Medication Support</x:v>
      </x:c>
      <x:c r="C35" s="47" t="n">
        <x:v>3</x:v>
      </x:c>
      <x:c r="D35" s="47" t="str">
        <x:v>Maintain medication safety through structured administration support, close monitoring and coordination for a complex regimen or changing needs.</x:v>
      </x:c>
      <x:c r="E35" s="47" t="str">
        <x:v>• Use structured medication administration and reconciliation process for complex regimen.
• Coordinate time-critical medications, monitoring and meals as ordered.
• Track PRN use/response and high-risk side effects.
• Ensure changes after hospital/clinic visits are reconciled before implementation.</x:v>
      </x:c>
      <x:c r="F35" s="47" t="str">
        <x:v>Review each shift/day according to risk, coordinate interventions, and reassess deterioration. Complete medication reconciliation and MAR oversight; verify administration support, effectiveness, adverse effects and prescriber follow-up.</x:v>
      </x:c>
      <x:c r="G35" s="47" t="str">
        <x:v>Every administration; close review</x:v>
      </x:c>
      <x:c r="H35" s="47" t="str">
        <x:v>Time-critical / clinical</x:v>
      </x:c>
      <x:c r="I35" s="47" t="str">
        <x:v>Suspected adverse drug event, reconciliation discrepancy, repeated PRN need or inability to manage safely.</x:v>
      </x:c>
      <x:c r="J35" s="47" t="str">
        <x:v>Recommend only when the assessed need is active and requires staff action; nurse individualizes and approves before activation.</x:v>
      </x:c>
    </x:row>
    <x:row r="36" ht="72" customHeight="1">
      <x:c r="A36" s="47" t="str">
        <x:v>AS-07</x:v>
      </x:c>
      <x:c r="B36" s="47" t="str">
        <x:v>Medication Support</x:v>
      </x:c>
      <x:c r="C36" s="47" t="n">
        <x:v>4</x:v>
      </x:c>
      <x:c r="D36" s="47" t="str">
        <x:v>Ensure medication safety through intensive support, close observation for therapeutic and adverse effects, and prompt coordination or escalation of concerns.</x:v>
      </x:c>
      <x:c r="E36" s="47" t="str">
        <x:v>• Provide intensive medication support within licensed/service capability.
• Maintain close observation for therapeutic response and serious adverse effects.
• Use explicit escalation pathway for missed critical doses, reactions or clinical instability.
• Coordinate promptly with prescriber/pharmacy/nurse for regimen issues.</x:v>
      </x:c>
      <x:c r="F36" s="47" t="str">
        <x:v>Provide intensive nursing oversight; review each shift and evaluate MLR, DT-013, DT-014 and service capability. Complete medication reconciliation and MAR oversight; verify administration support, effectiveness, adverse effects and prescriber follow-up.</x:v>
      </x:c>
      <x:c r="G36" s="47" t="str">
        <x:v>High-frequency / time-critical</x:v>
      </x:c>
      <x:c r="H36" s="47" t="str">
        <x:v>Time-critical / clinical</x:v>
      </x:c>
      <x:c r="I36" s="47" t="str">
        <x:v>Need for IV/continuous infusion or medication management beyond facility scope; severe reaction/emergency.</x:v>
      </x:c>
      <x:c r="J36" s="47" t="str">
        <x:v>Recommend only when the assessed need is active and requires staff action; nurse individualizes and approves before activation.</x:v>
      </x:c>
    </x:row>
    <x:row r="37" ht="72" customHeight="1">
      <x:c r="A37" s="47" t="str">
        <x:v>AS-08</x:v>
      </x:c>
      <x:c r="B37" s="47" t="str">
        <x:v>Nutrition / Hydration / Swallowing</x:v>
      </x:c>
      <x:c r="C37" s="47" t="n">
        <x:v>0</x:v>
      </x:c>
      <x:c r="D37" s="47" t="str">
        <x:v>Maintain independent eating and adequate nutrition and hydration while respecting food and beverage preferences.</x:v>
      </x:c>
      <x:c r="E37" s="47" t="str">
        <x:v>• Offer balanced meals and fluids while respecting resident preferences.
• Allow independent eating and preferred dining setting.
• Ensure water/beverages are accessible.
• Observe for unexpected weight or appetite change.</x:v>
      </x:c>
      <x:c r="F37" s="47" t="str">
        <x:v>Confirm baseline and review only when a change or exception is reported. Assess intake, weight/hydration and swallowing risk; verify diet/texture/fluid orders and coordinate dietitian/SLP review.</x:v>
      </x:c>
      <x:c r="G37" s="47" t="str">
        <x:v>Meals/snacks; routine observation</x:v>
      </x:c>
      <x:c r="H37" s="47" t="str">
        <x:v>Scheduled routine</x:v>
      </x:c>
      <x:c r="I37" s="47" t="str">
        <x:v>Weight loss, poor intake, swallowing symptoms or dehydration signs.</x:v>
      </x:c>
      <x:c r="J37" s="47" t="str">
        <x:v>Recommend only when the assessed need is active and requires staff action; nurse individualizes and approves before activation.</x:v>
      </x:c>
    </x:row>
    <x:row r="38" ht="72" customHeight="1">
      <x:c r="A38" s="47" t="str">
        <x:v>AS-08</x:v>
      </x:c>
      <x:c r="B38" s="47" t="str">
        <x:v>Nutrition / Hydration / Swallowing</x:v>
      </x:c>
      <x:c r="C38" s="47" t="n">
        <x:v>1</x:v>
      </x:c>
      <x:c r="D38" s="47" t="str">
        <x:v>Maintain adequate nutrition and hydration with minor setup, cueing or dietary support while encouraging independent intake.</x:v>
      </x:c>
      <x:c r="E38" s="47" t="str">
        <x:v>• Provide meal setup, packaging assistance or cueing as needed.
• Offer preferred fluids regularly and encourage adequate intake.
• Follow prescribed diet texture/diet modifications if present.
• Document persistent poor intake or new food difficulty.</x:v>
      </x:c>
      <x:c r="F38" s="47" t="str">
        <x:v>Confirm the individualized plan and review recurring exceptions. Assess intake, weight/hydration and swallowing risk; verify diet/texture/fluid orders and coordinate dietitian/SLP review.</x:v>
      </x:c>
      <x:c r="G38" s="47" t="str">
        <x:v>At meals; intermittent fluids</x:v>
      </x:c>
      <x:c r="H38" s="47" t="str">
        <x:v>Scheduled routine</x:v>
      </x:c>
      <x:c r="I38" s="47" t="str">
        <x:v>Regular supplementation/monitoring becomes necessary, weight decline or swallowing concern.</x:v>
      </x:c>
      <x:c r="J38" s="47" t="str">
        <x:v>Recommend only when the assessed need is active and requires staff action; nurse individualizes and approves before activation.</x:v>
      </x:c>
    </x:row>
    <x:row r="39" ht="72" customHeight="1">
      <x:c r="A39" s="47" t="str">
        <x:v>AS-08</x:v>
      </x:c>
      <x:c r="B39" s="47" t="str">
        <x:v>Nutrition / Hydration / Swallowing</x:v>
      </x:c>
      <x:c r="C39" s="47" t="n">
        <x:v>2</x:v>
      </x:c>
      <x:c r="D39" s="47" t="str">
        <x:v>Maintain adequate nutrition, hydration and healthy weight through regular meal support, intake monitoring and supplementation as indicated.</x:v>
      </x:c>
      <x:c r="E39" s="47" t="str">
        <x:v>• Monitor meal/fluid intake and weight at care-plan frequency.
• Provide regular meal assistance and prescribed nutritional supplements.
• Offer nutrient-dense preferred foods and fluids within diet orders.
• Escalate persistent low intake, weight loss, dehydration or glucose/meal mismatch.</x:v>
      </x:c>
      <x:c r="F39" s="47" t="str">
        <x:v>Establish planned monitoring and review trends at least daily or as ordered. Assess intake, weight/hydration and swallowing risk; verify diet/texture/fluid orders and coordinate dietitian/SLP review.</x:v>
      </x:c>
      <x:c r="G39" s="47" t="str">
        <x:v>Each meal; weight per plan</x:v>
      </x:c>
      <x:c r="H39" s="47" t="str">
        <x:v>Scheduled routine</x:v>
      </x:c>
      <x:c r="I39" s="47" t="str">
        <x:v>Ongoing weight loss, intake &lt; expected over repeated meals, dehydration or swallowing symptoms.</x:v>
      </x:c>
      <x:c r="J39" s="47" t="str">
        <x:v>Recommend only when the assessed need is active and requires staff action; nurse individualizes and approves before activation.</x:v>
      </x:c>
    </x:row>
    <x:row r="40" ht="72" customHeight="1">
      <x:c r="A40" s="47" t="str">
        <x:v>AS-08</x:v>
      </x:c>
      <x:c r="B40" s="47" t="str">
        <x:v>Nutrition / Hydration / Swallowing</x:v>
      </x:c>
      <x:c r="C40" s="47" t="n">
        <x:v>3</x:v>
      </x:c>
      <x:c r="D40" s="47" t="str">
        <x:v>Improve or maintain nutritional and hydration status through frequent individualized support for intake, weight or swallowing concerns.</x:v>
      </x:c>
      <x:c r="E40" s="47" t="str">
        <x:v>• Provide frequent individualized feeding/intake support and close monitoring.
• Follow prescribed texture, positioning and swallowing precautions.
• Track weight/intake/hydration trends and tolerance to supplements.
• Coordinate clinical/dietitian/speech review for unresolved concerns.</x:v>
      </x:c>
      <x:c r="F40" s="47" t="str">
        <x:v>Review each shift/day according to risk, coordinate interventions, and reassess deterioration. Assess intake, weight/hydration and swallowing risk; verify diet/texture/fluid orders and coordinate dietitian/SLP review.</x:v>
      </x:c>
      <x:c r="G40" s="47" t="str">
        <x:v>Frequent; every meal/snack</x:v>
      </x:c>
      <x:c r="H40" s="47" t="str">
        <x:v>Scheduled routine</x:v>
      </x:c>
      <x:c r="I40" s="47" t="str">
        <x:v>Choking, aspiration signs, rapid weight loss, inability to maintain hydration or oral intake.</x:v>
      </x:c>
      <x:c r="J40" s="47" t="str">
        <x:v>Recommend only when the assessed need is active and requires staff action; nurse individualizes and approves before activation.</x:v>
      </x:c>
    </x:row>
    <x:row r="41" ht="72" customHeight="1">
      <x:c r="A41" s="47" t="str">
        <x:v>AS-08</x:v>
      </x:c>
      <x:c r="B41" s="47" t="str">
        <x:v>Nutrition / Hydration / Swallowing</x:v>
      </x:c>
      <x:c r="C41" s="47" t="n">
        <x:v>4</x:v>
      </x:c>
      <x:c r="D41" s="47" t="str">
        <x:v>Maintain adequate nutrition, hydration, comfort and dignity through extensive feeding support and individualized management of significant ongoing nutritional needs.</x:v>
      </x:c>
      <x:c r="E41" s="47" t="str">
        <x:v>• Provide extensive feeding assistance while maintaining dignity and preferred pacing.
• Follow all swallowing, texture, positioning and oral-care instructions.
• Monitor tolerance, hydration, weight and signs of aspiration closely.
• Escalate when oral intake cannot safely/adequately meet needs or care exceeds capability.</x:v>
      </x:c>
      <x:c r="F41" s="47" t="str">
        <x:v>Provide intensive nursing oversight; review each shift and evaluate MLR, DT-013, DT-014 and service capability. Assess intake, weight/hydration and swallowing risk; verify diet/texture/fluid orders and coordinate dietitian/SLP review.</x:v>
      </x:c>
      <x:c r="G41" s="47" t="str">
        <x:v>Every intake episode; high-frequency</x:v>
      </x:c>
      <x:c r="H41" s="47" t="str">
        <x:v>Scheduled routine</x:v>
      </x:c>
      <x:c r="I41" s="47" t="str">
        <x:v>Recurrent aspiration/choking, inability to hydrate/nourish orally or enteral-feeding needs beyond scope.</x:v>
      </x:c>
      <x:c r="J41" s="47" t="str">
        <x:v>Recommend only when the assessed need is active and requires staff action; nurse individualizes and approves before activation.</x:v>
      </x:c>
    </x:row>
    <x:row r="42" ht="72" customHeight="1">
      <x:c r="A42" s="47" t="str">
        <x:v>AS-09</x:v>
      </x:c>
      <x:c r="B42" s="47" t="str">
        <x:v>Communication</x:v>
      </x:c>
      <x:c r="C42" s="47" t="n">
        <x:v>0</x:v>
      </x:c>
      <x:c r="D42" s="47" t="str">
        <x:v>Maintain effective independent communication and participation in decisions using the resident’s preferred communication method.</x:v>
      </x:c>
      <x:c r="E42" s="47" t="str">
        <x:v>• Communicate directly with resident using preferred language/method.
• Ensure normal access to glasses/hearing aids.
• Include resident in care discussions and decisions.
• Observe for new hearing, vision, speech or comprehension changes.</x:v>
      </x:c>
      <x:c r="F42" s="47" t="str">
        <x:v>Confirm baseline and review only when a change or exception is reported. Assess communication ability and sensory supports; validate effective communication method and referral needs.</x:v>
      </x:c>
      <x:c r="G42" s="47" t="str">
        <x:v>Routine</x:v>
      </x:c>
      <x:c r="H42" s="47" t="str">
        <x:v>Routine / communication support</x:v>
      </x:c>
      <x:c r="I42" s="47" t="str">
        <x:v>New sensory loss, communication breakdown or acute neurologic change.</x:v>
      </x:c>
      <x:c r="J42" s="47" t="str">
        <x:v>Recommend only when the assessed need is active and requires staff action; nurse individualizes and approves before activation.</x:v>
      </x:c>
    </x:row>
    <x:row r="43" ht="72" customHeight="1">
      <x:c r="A43" s="47" t="str">
        <x:v>AS-09</x:v>
      </x:c>
      <x:c r="B43" s="47" t="str">
        <x:v>Communication</x:v>
      </x:c>
      <x:c r="C43" s="47" t="n">
        <x:v>1</x:v>
      </x:c>
      <x:c r="D43" s="47" t="str">
        <x:v>Support effective communication through occasional cueing, environmental adjustment or use of preferred sensory aids.</x:v>
      </x:c>
      <x:c r="E43" s="47" t="str">
        <x:v>• Reduce background noise and face resident when speaking.
• Provide occasional repetition, written cue or visual prompt.
• Check that glasses/hearing aids are in place before care instructions.
• Allow extra response time.</x:v>
      </x:c>
      <x:c r="F43" s="47" t="str">
        <x:v>Confirm the individualized plan and review recurring exceptions. Assess communication ability and sensory supports; validate effective communication method and referral needs.</x:v>
      </x:c>
      <x:c r="G43" s="47" t="str">
        <x:v>As needed</x:v>
      </x:c>
      <x:c r="H43" s="47" t="str">
        <x:v>Routine / communication support</x:v>
      </x:c>
      <x:c r="I43" s="47" t="str">
        <x:v>Regular communication support needed or resident cannot express needs reliably.</x:v>
      </x:c>
      <x:c r="J43" s="47" t="str">
        <x:v>Recommend only when the assessed need is active and requires staff action; nurse individualizes and approves before activation.</x:v>
      </x:c>
    </x:row>
    <x:row r="44" ht="72" customHeight="1">
      <x:c r="A44" s="47" t="str">
        <x:v>AS-09</x:v>
      </x:c>
      <x:c r="B44" s="47" t="str">
        <x:v>Communication</x:v>
      </x:c>
      <x:c r="C44" s="47" t="n">
        <x:v>2</x:v>
      </x:c>
      <x:c r="D44" s="47" t="str">
        <x:v>Promote understanding and expression through regular communication support, sensory aids and appropriate adaptation of the environment.</x:v>
      </x:c>
      <x:c r="E44" s="47" t="str">
        <x:v>• Use consistent communication aids/strategies across staff.
• Present information in short phrases and confirm understanding.
• Ensure sensory devices are maintained and available.
• Document effective communication methods and resident preferences.</x:v>
      </x:c>
      <x:c r="F44" s="47" t="str">
        <x:v>Establish planned monitoring and review trends at least daily or as ordered. Assess communication ability and sensory supports; validate effective communication method and referral needs.</x:v>
      </x:c>
      <x:c r="G44" s="47" t="str">
        <x:v>Regular throughout care</x:v>
      </x:c>
      <x:c r="H44" s="47" t="str">
        <x:v>Routine / communication support</x:v>
      </x:c>
      <x:c r="I44" s="47" t="str">
        <x:v>Frequent inability to express basic needs, aspiration/speech changes or communication failure affecting safety.</x:v>
      </x:c>
      <x:c r="J44" s="47" t="str">
        <x:v>Recommend only when the assessed need is active and requires staff action; nurse individualizes and approves before activation.</x:v>
      </x:c>
    </x:row>
    <x:row r="45" ht="72" customHeight="1">
      <x:c r="A45" s="47" t="str">
        <x:v>AS-09</x:v>
      </x:c>
      <x:c r="B45" s="47" t="str">
        <x:v>Communication</x:v>
      </x:c>
      <x:c r="C45" s="47" t="n">
        <x:v>3</x:v>
      </x:c>
      <x:c r="D45" s="47" t="str">
        <x:v>Maintain meaningful communication through frequent individualized approaches, simplified information and appropriate sensory support.</x:v>
      </x:c>
      <x:c r="E45" s="47" t="str">
        <x:v>• Use individualized communication plan during most interactions.
• Anticipate needs and confirm through gestures, behavior and context.
• Limit questions to one concept at a time and use visual/tactile cues as appropriate.
• Coordinate speech/hearing/vision evaluation when indicated.</x:v>
      </x:c>
      <x:c r="F45" s="47" t="str">
        <x:v>Review each shift/day according to risk, coordinate interventions, and reassess deterioration. Assess communication ability and sensory supports; validate effective communication method and referral needs.</x:v>
      </x:c>
      <x:c r="G45" s="47" t="str">
        <x:v>Frequent / most interactions</x:v>
      </x:c>
      <x:c r="H45" s="47" t="str">
        <x:v>Routine / communication support</x:v>
      </x:c>
      <x:c r="I45" s="47" t="str">
        <x:v>Resident cannot communicate pain/basic needs reliably or sudden speech change.</x:v>
      </x:c>
      <x:c r="J45" s="47" t="str">
        <x:v>Recommend only when the assessed need is active and requires staff action; nurse individualizes and approves before activation.</x:v>
      </x:c>
    </x:row>
    <x:row r="46" ht="72" customHeight="1">
      <x:c r="A46" s="47" t="str">
        <x:v>AS-09</x:v>
      </x:c>
      <x:c r="B46" s="47" t="str">
        <x:v>Communication</x:v>
      </x:c>
      <x:c r="C46" s="47" t="n">
        <x:v>4</x:v>
      </x:c>
      <x:c r="D46" s="47" t="str">
        <x:v>Maintain connection, comfort and ability to express basic needs through consistent individualized communication strategies and interpretation of verbal and non-verbal cues.</x:v>
      </x:c>
      <x:c r="E46" s="47" t="str">
        <x:v>• Use consistent individualized verbal and non-verbal communication at all care encounters.
• Interpret behavior/non-verbal cues for pain, fear, hunger, toileting and comfort.
• Offer simple choices using objects, pictures or gestures.
• Share successful signals/cues across all caregivers.</x:v>
      </x:c>
      <x:c r="F46" s="47" t="str">
        <x:v>Provide intensive nursing oversight; review each shift and evaluate MLR, DT-013, DT-014 and service capability. Assess communication ability and sensory supports; validate effective communication method and referral needs.</x:v>
      </x:c>
      <x:c r="G46" s="47" t="str">
        <x:v>Continuous across care day</x:v>
      </x:c>
      <x:c r="H46" s="47" t="str">
        <x:v>Routine / communication support</x:v>
      </x:c>
      <x:c r="I46" s="47" t="str">
        <x:v>New unresponsiveness, acute neurologic change or inability to meet needs safely.</x:v>
      </x:c>
      <x:c r="J46" s="47" t="str">
        <x:v>Recommend only when the assessed need is active and requires staff action; nurse individualizes and approves before activation.</x:v>
      </x:c>
    </x:row>
    <x:row r="47" ht="72" customHeight="1">
      <x:c r="A47" s="47" t="str">
        <x:v>AS-10</x:v>
      </x:c>
      <x:c r="B47" s="47" t="str">
        <x:v>Continence / Toileting</x:v>
      </x:c>
      <x:c r="C47" s="47" t="n">
        <x:v>0</x:v>
      </x:c>
      <x:c r="D47" s="47" t="str">
        <x:v>Maintain independent toileting and continence routines while respecting privacy and personal preferences.</x:v>
      </x:c>
      <x:c r="E47" s="47" t="str">
        <x:v>• Allow independent toileting and privacy.
• Keep bathroom route clear and supplies accessible.
• Respect usual toileting schedule and hygiene products.
• Observe for new urgency, accidents, constipation or urinary symptoms.</x:v>
      </x:c>
      <x:c r="F47" s="47" t="str">
        <x:v>Confirm baseline and review only when a change or exception is reported. Assess continence pattern, causes and skin impact; approve toileting plan and review urinary/bowel changes.</x:v>
      </x:c>
      <x:c r="G47" s="47" t="str">
        <x:v>Routine</x:v>
      </x:c>
      <x:c r="H47" s="47" t="str">
        <x:v>Scheduled routine</x:v>
      </x:c>
      <x:c r="I47" s="47" t="str">
        <x:v>New incontinence, urinary symptoms, constipation or need for assistance.</x:v>
      </x:c>
      <x:c r="J47" s="47" t="str">
        <x:v>Recommend only when the assessed need is active and requires staff action; nurse individualizes and approves before activation.</x:v>
      </x:c>
    </x:row>
    <x:row r="48" ht="72" customHeight="1">
      <x:c r="A48" s="47" t="str">
        <x:v>AS-10</x:v>
      </x:c>
      <x:c r="B48" s="47" t="str">
        <x:v>Continence / Toileting</x:v>
      </x:c>
      <x:c r="C48" s="47" t="n">
        <x:v>1</x:v>
      </x:c>
      <x:c r="D48" s="47" t="str">
        <x:v>Maintain independence with toileting through occasional cueing or setup while preserving privacy and dignity.</x:v>
      </x:c>
      <x:c r="E48" s="47" t="str">
        <x:v>• Provide occasional reminders, setup or standby assistance for toileting.
• Ensure clothing/continence supplies are easy to manage.
• Prompt before outings/bedtime if consistent with preference.
• Document new accidents or increasing cueing need.</x:v>
      </x:c>
      <x:c r="F48" s="47" t="str">
        <x:v>Confirm the individualized plan and review recurring exceptions. Assess continence pattern, causes and skin impact; approve toileting plan and review urinary/bowel changes.</x:v>
      </x:c>
      <x:c r="G48" s="47" t="str">
        <x:v>Occasional / as needed</x:v>
      </x:c>
      <x:c r="H48" s="47" t="str">
        <x:v>Scheduled routine</x:v>
      </x:c>
      <x:c r="I48" s="47" t="str">
        <x:v>Regular toileting assistance, repeated accidents or skin irritation.</x:v>
      </x:c>
      <x:c r="J48" s="47" t="str">
        <x:v>Recommend only when the assessed need is active and requires staff action; nurse individualizes and approves before activation.</x:v>
      </x:c>
    </x:row>
    <x:row r="49" ht="72" customHeight="1">
      <x:c r="A49" s="47" t="str">
        <x:v>AS-10</x:v>
      </x:c>
      <x:c r="B49" s="47" t="str">
        <x:v>Continence / Toileting</x:v>
      </x:c>
      <x:c r="C49" s="47" t="n">
        <x:v>2</x:v>
      </x:c>
      <x:c r="D49" s="47" t="str">
        <x:v>Support regular toileting while maintaining dignity and independence. Provide assistance as needed and monitor continence and skin integrity.</x:v>
      </x:c>
      <x:c r="E49" s="47" t="str">
        <x:v>• Provide regular toileting assistance or continence care on individualized schedule.
• Assist with clothing, transfer, cleansing and product change as needed.
• Monitor continence pattern, urine/stool changes and skin condition.
• Encourage fluids and bowel routine consistent with clinical plan.</x:v>
      </x:c>
      <x:c r="F49" s="47" t="str">
        <x:v>Establish planned monitoring and review trends at least daily or as ordered. Assess continence pattern, causes and skin impact; approve toileting plan and review urinary/bowel changes.</x:v>
      </x:c>
      <x:c r="G49" s="47" t="str">
        <x:v>Regular / scheduled and as needed</x:v>
      </x:c>
      <x:c r="H49" s="47" t="str">
        <x:v>Scheduled routine</x:v>
      </x:c>
      <x:c r="I49" s="47" t="str">
        <x:v>Frequent diaper care workload, skin breakdown, retention, recurrent UTI or constipation.</x:v>
      </x:c>
      <x:c r="J49" s="47" t="str">
        <x:v>Recommend only when the assessed need is active and requires staff action; nurse individualizes and approves before activation.</x:v>
      </x:c>
    </x:row>
    <x:row r="50" ht="72" customHeight="1">
      <x:c r="A50" s="47" t="str">
        <x:v>AS-10</x:v>
      </x:c>
      <x:c r="B50" s="47" t="str">
        <x:v>Continence / Toileting</x:v>
      </x:c>
      <x:c r="C50" s="47" t="n">
        <x:v>3</x:v>
      </x:c>
      <x:c r="D50" s="47" t="str">
        <x:v>Maintain comfort, hygiene and skin integrity through frequent hands-on toileting or continence care while encouraging participation as able.</x:v>
      </x:c>
      <x:c r="E50" s="47" t="str">
        <x:v>• Provide frequent hands-on toileting/diaper care and prompt hygiene.
• Use proactive toileting schedule to reduce urgency and unsafe rushing.
• Apply skin barrier/protective care as ordered/policy.
• Track bowel pattern and escalate unresolved constipation/diarrhea.</x:v>
      </x:c>
      <x:c r="F50" s="47" t="str">
        <x:v>Review each shift/day according to risk, coordinate interventions, and reassess deterioration. Assess continence pattern, causes and skin impact; approve toileting plan and review urinary/bowel changes.</x:v>
      </x:c>
      <x:c r="G50" s="47" t="str">
        <x:v>Frequent / multiple episodes daily</x:v>
      </x:c>
      <x:c r="H50" s="47" t="str">
        <x:v>Scheduled routine</x:v>
      </x:c>
      <x:c r="I50" s="47" t="str">
        <x:v>Skin injury, blood in urine/stool, inability to toilet safely or very high-frequency care.</x:v>
      </x:c>
      <x:c r="J50" s="47" t="str">
        <x:v>Recommend only when the assessed need is active and requires staff action; nurse individualizes and approves before activation.</x:v>
      </x:c>
    </x:row>
    <x:row r="51" ht="72" customHeight="1">
      <x:c r="A51" s="47" t="str">
        <x:v>AS-10</x:v>
      </x:c>
      <x:c r="B51" s="47" t="str">
        <x:v>Continence / Toileting</x:v>
      </x:c>
      <x:c r="C51" s="47" t="n">
        <x:v>4</x:v>
      </x:c>
      <x:c r="D51" s="47" t="str">
        <x:v>Maintain comfort, dignity, hygiene and skin integrity through comprehensive high-frequency toileting and continence care.</x:v>
      </x:c>
      <x:c r="E51" s="47" t="str">
        <x:v>• Provide near-total continence/toileting assistance with high-frequency checks.
• Change soiled products promptly and provide thorough gentle skin care.
• Use safe transfer/repositioning plan for all toileting care.
• Maintain dignity, privacy and comfort at each episode.</x:v>
      </x:c>
      <x:c r="F51" s="47" t="str">
        <x:v>Provide intensive nursing oversight; review each shift and evaluate MLR, DT-013, DT-014 and service capability. Assess continence pattern, causes and skin impact; approve toileting plan and review urinary/bowel changes.</x:v>
      </x:c>
      <x:c r="G51" s="47" t="str">
        <x:v>High-frequency / comprehensive</x:v>
      </x:c>
      <x:c r="H51" s="47" t="str">
        <x:v>Scheduled routine</x:v>
      </x:c>
      <x:c r="I51" s="47" t="str">
        <x:v>Recurrent skin breakdown, retention, GI/GU bleeding or care exceeds service capability.</x:v>
      </x:c>
      <x:c r="J51" s="47" t="str">
        <x:v>Recommend only when the assessed need is active and requires staff action; nurse individualizes and approves before activation.</x:v>
      </x:c>
    </x:row>
    <x:row r="52" ht="72" customHeight="1">
      <x:c r="A52" s="47" t="str">
        <x:v>AS-11</x:v>
      </x:c>
      <x:c r="B52" s="47" t="str">
        <x:v>Skin Integrity</x:v>
      </x:c>
      <x:c r="C52" s="47" t="n">
        <x:v>0</x:v>
      </x:c>
      <x:c r="D52" s="47" t="str">
        <x:v>Maintain healthy, intact skin through routine hygiene, mobility, nutrition and skin care.</x:v>
      </x:c>
      <x:c r="E52" s="47" t="str">
        <x:v>• Perform routine skin observation during bathing/dressing.
• Maintain normal hygiene, moisturization and mobility.
• Keep skin clean and dry.
• Report new redness, rash, wound or bruising.</x:v>
      </x:c>
      <x:c r="F52" s="47" t="str">
        <x:v>Confirm baseline and review only when a change or exception is reported. Complete skin/wound risk assessment; approve prevention/treatment plan and evaluate deterioration or infection signs.</x:v>
      </x:c>
      <x:c r="G52" s="47" t="str">
        <x:v>Routine personal care</x:v>
      </x:c>
      <x:c r="H52" s="47" t="str">
        <x:v>Time-critical / clinical</x:v>
      </x:c>
      <x:c r="I52" s="47" t="str">
        <x:v>Non-blanching redness, open area, infection signs or unexplained bruising.</x:v>
      </x:c>
      <x:c r="J52" s="47" t="str">
        <x:v>Recommend only when the assessed need is active and requires staff action; nurse individualizes and approves before activation.</x:v>
      </x:c>
    </x:row>
    <x:row r="53" ht="72" customHeight="1">
      <x:c r="A53" s="47" t="str">
        <x:v>AS-11</x:v>
      </x:c>
      <x:c r="B53" s="47" t="str">
        <x:v>Skin Integrity</x:v>
      </x:c>
      <x:c r="C53" s="47" t="n">
        <x:v>1</x:v>
      </x:c>
      <x:c r="D53" s="47" t="str">
        <x:v>Maintain intact skin through preventive measures and monitoring of identified skin-risk factors.</x:v>
      </x:c>
      <x:c r="E53" s="47" t="str">
        <x:v>• Inspect identified risk areas regularly.
• Use preventive off-loading/position changes as indicated.
• Manage moisture promptly and protect fragile skin.
• Document any persistent redness or skin change.</x:v>
      </x:c>
      <x:c r="F53" s="47" t="str">
        <x:v>Confirm the individualized plan and review recurring exceptions. Complete skin/wound risk assessment; approve prevention/treatment plan and evaluate deterioration or infection signs.</x:v>
      </x:c>
      <x:c r="G53" s="47" t="str">
        <x:v>Daily / per risk plan</x:v>
      </x:c>
      <x:c r="H53" s="47" t="str">
        <x:v>Time-critical / clinical</x:v>
      </x:c>
      <x:c r="I53" s="47" t="str">
        <x:v>Persistent redness, blister/open area or increasing pressure/moisture exposure.</x:v>
      </x:c>
      <x:c r="J53" s="47" t="str">
        <x:v>Recommend only when the assessed need is active and requires staff action; nurse individualizes and approves before activation.</x:v>
      </x:c>
    </x:row>
    <x:row r="54" ht="72" customHeight="1">
      <x:c r="A54" s="47" t="str">
        <x:v>AS-11</x:v>
      </x:c>
      <x:c r="B54" s="47" t="str">
        <x:v>Skin Integrity</x:v>
      </x:c>
      <x:c r="C54" s="47" t="n">
        <x:v>2</x:v>
      </x:c>
      <x:c r="D54" s="47" t="str">
        <x:v>Protect skin integrity and promote healing through regular skin care, pressure prevention and monitoring of affected or vulnerable areas.</x:v>
      </x:c>
      <x:c r="E54" s="47" t="str">
        <x:v>• Provide regular skin/wound care according to written orders.
• Implement pressure prevention and repositioning schedule.
• Track wound/skin appearance and report deterioration.
• Support nutrition/hydration relevant to skin healing.</x:v>
      </x:c>
      <x:c r="F54" s="47" t="str">
        <x:v>Establish planned monitoring and review trends at least daily or as ordered. Complete skin/wound risk assessment; approve prevention/treatment plan and evaluate deterioration or infection signs.</x:v>
      </x:c>
      <x:c r="G54" s="47" t="str">
        <x:v>Regular / ordered schedule</x:v>
      </x:c>
      <x:c r="H54" s="47" t="str">
        <x:v>Time-critical / clinical</x:v>
      </x:c>
      <x:c r="I54" s="47" t="str">
        <x:v>Wound enlargement, drainage/odor, fever, worsening pain or new pressure injury.</x:v>
      </x:c>
      <x:c r="J54" s="47" t="str">
        <x:v>Recommend only when the assessed need is active and requires staff action; nurse individualizes and approves before activation.</x:v>
      </x:c>
    </x:row>
    <x:row r="55" ht="72" customHeight="1">
      <x:c r="A55" s="47" t="str">
        <x:v>AS-11</x:v>
      </x:c>
      <x:c r="B55" s="47" t="str">
        <x:v>Skin Integrity</x:v>
      </x:c>
      <x:c r="C55" s="47" t="n">
        <x:v>3</x:v>
      </x:c>
      <x:c r="D55" s="47" t="str">
        <x:v>Promote healing and prevent further skin breakdown through frequent individualized skin or wound care and pressure-management measures.</x:v>
      </x:c>
      <x:c r="E55" s="47" t="str">
        <x:v>• Provide frequent individualized wound/skin care and pressure management.
• Reposition/off-load at prescribed frequency and document completion.
• Monitor drainage, odor, surrounding skin, pain and systemic symptoms.
• Coordinate wound-clinician/medical review.</x:v>
      </x:c>
      <x:c r="F55" s="47" t="str">
        <x:v>Review each shift/day according to risk, coordinate interventions, and reassess deterioration. Complete skin/wound risk assessment; approve prevention/treatment plan and evaluate deterioration or infection signs.</x:v>
      </x:c>
      <x:c r="G55" s="47" t="str">
        <x:v>Frequent / multiple times daily as ordered</x:v>
      </x:c>
      <x:c r="H55" s="47" t="str">
        <x:v>Time-critical / clinical</x:v>
      </x:c>
      <x:c r="I55" s="47" t="str">
        <x:v>Rapid deterioration, spreading infection, necrosis or wound needs beyond capability.</x:v>
      </x:c>
      <x:c r="J55" s="47" t="str">
        <x:v>Recommend only when the assessed need is active and requires staff action; nurse individualizes and approves before activation.</x:v>
      </x:c>
    </x:row>
    <x:row r="56" ht="72" customHeight="1">
      <x:c r="A56" s="47" t="str">
        <x:v>AS-11</x:v>
      </x:c>
      <x:c r="B56" s="47" t="str">
        <x:v>Skin Integrity</x:v>
      </x:c>
      <x:c r="C56" s="47" t="n">
        <x:v>4</x:v>
      </x:c>
      <x:c r="D56" s="47" t="str">
        <x:v>Maintain healing, comfort and prevention of further deterioration through intensive individualized skin/wound management and coordinated clinical care.</x:v>
      </x:c>
      <x:c r="E56" s="47" t="str">
        <x:v>• Provide intensive skin/wound management within service scope.
• Use strict pressure-relief, positioning and moisture-control plan.
• Maintain comfort/pain observation during care.
• Coordinate urgent review when healing is poor or systemic signs appear.</x:v>
      </x:c>
      <x:c r="F56" s="47" t="str">
        <x:v>Provide intensive nursing oversight; review each shift and evaluate MLR, DT-013, DT-014 and service capability. Complete skin/wound risk assessment; approve prevention/treatment plan and evaluate deterioration or infection signs.</x:v>
      </x:c>
      <x:c r="G56" s="47" t="str">
        <x:v>High-frequency / intensive</x:v>
      </x:c>
      <x:c r="H56" s="47" t="str">
        <x:v>Time-critical / clinical</x:v>
      </x:c>
      <x:c r="I56" s="47" t="str">
        <x:v>Suspected deep infection/sepsis, uncontrolled pain or advanced wound care beyond capability.</x:v>
      </x:c>
      <x:c r="J56" s="47" t="str">
        <x:v>Recommend only when the assessed need is active and requires staff action; nurse individualizes and approves before activation.</x:v>
      </x:c>
    </x:row>
    <x:row r="57" ht="72" customHeight="1">
      <x:c r="A57" s="47" t="str">
        <x:v>AS-12</x:v>
      </x:c>
      <x:c r="B57" s="47" t="str">
        <x:v>Sleep / Night Routine</x:v>
      </x:c>
      <x:c r="C57" s="47" t="n">
        <x:v>0</x:v>
      </x:c>
      <x:c r="D57" s="47" t="str">
        <x:v>Maintain the resident’s preferred sleep and daily routine with minimal staff intervention.</x:v>
      </x:c>
      <x:c r="E57" s="47" t="str">
        <x:v>• Respect resident’s preferred bedtime, wake time and sleep environment.
• Minimize unnecessary nighttime interruptions.
• Support usual bedtime routine and comfort items.
• Observe for new sleep disruption or daytime somnolence.</x:v>
      </x:c>
      <x:c r="F57" s="47" t="str">
        <x:v>Confirm baseline and review only when a change or exception is reported. Assess sleep/night pattern and contributing pain, toileting, medication or behavioral factors; approve night plan.</x:v>
      </x:c>
      <x:c r="G57" s="47" t="str">
        <x:v>Nightly / routine</x:v>
      </x:c>
      <x:c r="H57" s="47" t="str">
        <x:v>Scheduled routine</x:v>
      </x:c>
      <x:c r="I57" s="47" t="str">
        <x:v>Persistent insomnia, nighttime confusion, unsafe wandering or daytime impairment.</x:v>
      </x:c>
      <x:c r="J57" s="47" t="str">
        <x:v>Recommend only when the assessed need is active and requires staff action; nurse individualizes and approves before activation.</x:v>
      </x:c>
    </x:row>
    <x:row r="58" ht="72" customHeight="1">
      <x:c r="A58" s="47" t="str">
        <x:v>AS-12</x:v>
      </x:c>
      <x:c r="B58" s="47" t="str">
        <x:v>Sleep / Night Routine</x:v>
      </x:c>
      <x:c r="C58" s="47" t="n">
        <x:v>1</x:v>
      </x:c>
      <x:c r="D58" s="47" t="str">
        <x:v>Maintain a comfortable sleep routine with occasional reassurance or cueing while respecting preferred bedtime and waking habits.</x:v>
      </x:c>
      <x:c r="E58" s="47" t="str">
        <x:v>• Provide occasional reassurance, cueing or comfort at night.
• Offer toileting or repositioning when requested/indicated.
• Use low-stimulation approach during nighttime awakenings.
• Document recurring pattern if support becomes frequent.</x:v>
      </x:c>
      <x:c r="F58" s="47" t="str">
        <x:v>Confirm the individualized plan and review recurring exceptions. Assess sleep/night pattern and contributing pain, toileting, medication or behavioral factors; approve night plan.</x:v>
      </x:c>
      <x:c r="G58" s="47" t="str">
        <x:v>Occasional nights / as needed</x:v>
      </x:c>
      <x:c r="H58" s="47" t="str">
        <x:v>Scheduled routine</x:v>
      </x:c>
      <x:c r="I58" s="47" t="str">
        <x:v>Night support becomes regular, repeated falls risk or day/night reversal.</x:v>
      </x:c>
      <x:c r="J58" s="47" t="str">
        <x:v>Recommend only when the assessed need is active and requires staff action; nurse individualizes and approves before activation.</x:v>
      </x:c>
    </x:row>
    <x:row r="59" ht="72" customHeight="1">
      <x:c r="A59" s="47" t="str">
        <x:v>AS-12</x:v>
      </x:c>
      <x:c r="B59" s="47" t="str">
        <x:v>Sleep / Night Routine</x:v>
      </x:c>
      <x:c r="C59" s="47" t="n">
        <x:v>2</x:v>
      </x:c>
      <x:c r="D59" s="47" t="str">
        <x:v>Promote restful sleep and a consistent daily routine through regular individualized nighttime or routine support.</x:v>
      </x:c>
      <x:c r="E59" s="47" t="str">
        <x:v>• Implement consistent bedtime routine and regular nighttime supports.
• Provide scheduled toileting/repositioning if care plan indicates.
• Reduce evening stimulation and support daytime activity/light exposure.
• Track sleep pattern and effectiveness of interventions.</x:v>
      </x:c>
      <x:c r="F59" s="47" t="str">
        <x:v>Establish planned monitoring and review trends at least daily or as ordered. Assess sleep/night pattern and contributing pain, toileting, medication or behavioral factors; approve night plan.</x:v>
      </x:c>
      <x:c r="G59" s="47" t="str">
        <x:v>Regular nightly</x:v>
      </x:c>
      <x:c r="H59" s="47" t="str">
        <x:v>Scheduled routine</x:v>
      </x:c>
      <x:c r="I59" s="47" t="str">
        <x:v>Frequent awakenings despite plan, agitation, unsafe wandering or marked daytime decline.</x:v>
      </x:c>
      <x:c r="J59" s="47" t="str">
        <x:v>Recommend only when the assessed need is active and requires staff action; nurse individualizes and approves before activation.</x:v>
      </x:c>
    </x:row>
    <x:row r="60" ht="72" customHeight="1">
      <x:c r="A60" s="47" t="str">
        <x:v>AS-12</x:v>
      </x:c>
      <x:c r="B60" s="47" t="str">
        <x:v>Sleep / Night Routine</x:v>
      </x:c>
      <x:c r="C60" s="47" t="n">
        <x:v>3</x:v>
      </x:c>
      <x:c r="D60" s="47" t="str">
        <x:v>Improve sleep, comfort and day/night routine through frequent individualized interventions while minimizing unnecessary disruption.</x:v>
      </x:c>
      <x:c r="E60" s="47" t="str">
        <x:v>• Provide frequent individualized interventions for sleep disruption.
• Use structured day/night schedule and consistent staff approach.
• Assess common causes of waking: pain, toileting, hunger, anxiety, environment.
• Coordinate clinical review for persistent change.</x:v>
      </x:c>
      <x:c r="F60" s="47" t="str">
        <x:v>Review each shift/day according to risk, coordinate interventions, and reassess deterioration. Assess sleep/night pattern and contributing pain, toileting, medication or behavioral factors; approve night plan.</x:v>
      </x:c>
      <x:c r="G60" s="47" t="str">
        <x:v>Frequent each night / day</x:v>
      </x:c>
      <x:c r="H60" s="47" t="str">
        <x:v>Scheduled routine</x:v>
      </x:c>
      <x:c r="I60" s="47" t="str">
        <x:v>Persistent severe disruption, delirium, recurrent nighttime falls or care burden escalation.</x:v>
      </x:c>
      <x:c r="J60" s="47" t="str">
        <x:v>Recommend only when the assessed need is active and requires staff action; nurse individualizes and approves before activation.</x:v>
      </x:c>
    </x:row>
    <x:row r="61" ht="72" customHeight="1">
      <x:c r="A61" s="47" t="str">
        <x:v>AS-12</x:v>
      </x:c>
      <x:c r="B61" s="47" t="str">
        <x:v>Sleep / Night Routine</x:v>
      </x:c>
      <x:c r="C61" s="47" t="n">
        <x:v>4</x:v>
      </x:c>
      <x:c r="D61" s="47" t="str">
        <x:v>Promote comfort and the most stable day/night pattern achievable through intensive individualized support based on the resident’s established preferences and responses.</x:v>
      </x:c>
      <x:c r="E61" s="47" t="str">
        <x:v>• Provide intensive individualized day/night support while prioritizing comfort.
• Maintain close supervision during unsafe nighttime activity.
• Use non-pharmacologic calming and familiar routines first where appropriate.
• Escalate sudden severe sleep/wake change as possible acute illness/delirium.</x:v>
      </x:c>
      <x:c r="F61" s="47" t="str">
        <x:v>Provide intensive nursing oversight; review each shift and evaluate MLR, DT-013, DT-014 and service capability. Assess sleep/night pattern and contributing pain, toileting, medication or behavioral factors; approve night plan.</x:v>
      </x:c>
      <x:c r="G61" s="47" t="str">
        <x:v>High-frequency / persistent</x:v>
      </x:c>
      <x:c r="H61" s="47" t="str">
        <x:v>Scheduled routine</x:v>
      </x:c>
      <x:c r="I61" s="47" t="str">
        <x:v>Inability to maintain safety, acute delirium or need for one-to-one support beyond capability.</x:v>
      </x:c>
      <x:c r="J61" s="47" t="str">
        <x:v>Recommend only when the assessed need is active and requires staff action; nurse individualizes and approves before activation.</x:v>
      </x:c>
    </x:row>
    <x:row r="62" ht="72" customHeight="1">
      <x:c r="A62" s="47" t="str">
        <x:v>AS-13</x:v>
      </x:c>
      <x:c r="B62" s="47" t="str">
        <x:v>Safety / Supervision</x:v>
      </x:c>
      <x:c r="C62" s="47" t="n">
        <x:v>0</x:v>
      </x:c>
      <x:c r="D62" s="47" t="str">
        <x:v>Maintain independent and safe participation in daily life with routine environmental safety measures.</x:v>
      </x:c>
      <x:c r="E62" s="47" t="str">
        <x:v>• Maintain routine environmental safety checks.
• Keep emergency/call systems accessible.
• Respect resident’s normal independence and privacy.
• Document any new safety event or unsafe judgment.</x:v>
      </x:c>
      <x:c r="F62" s="47" t="str">
        <x:v>Confirm baseline and review only when a change or exception is reported. Determine supervision need and least-restrictive safeguards; review incidents, wandering/exit risk and DT-013 implications.</x:v>
      </x:c>
      <x:c r="G62" s="47" t="str">
        <x:v>Routine</x:v>
      </x:c>
      <x:c r="H62" s="47" t="str">
        <x:v>Routine + trigger-based</x:v>
      </x:c>
      <x:c r="I62" s="47" t="str">
        <x:v>New unsafe behavior, wandering, fire risk or inability to seek help.</x:v>
      </x:c>
      <x:c r="J62" s="47" t="str">
        <x:v>Recommend only when the assessed need is active and requires staff action; nurse individualizes and approves before activation.</x:v>
      </x:c>
    </x:row>
    <x:row r="63" ht="72" customHeight="1">
      <x:c r="A63" s="47" t="str">
        <x:v>AS-13</x:v>
      </x:c>
      <x:c r="B63" s="47" t="str">
        <x:v>Safety / Supervision</x:v>
      </x:c>
      <x:c r="C63" s="47" t="n">
        <x:v>1</x:v>
      </x:c>
      <x:c r="D63" s="47" t="str">
        <x:v>Maintain independence with occasional safety reminders, reassurance or supervision as needed.</x:v>
      </x:c>
      <x:c r="E63" s="47" t="str">
        <x:v>• Provide occasional reminders about identified safety risks.
• Check that commonly used equipment is used correctly.
• Offer standby supervision for unfamiliar/high-risk situations.
• Document repeated unsafe choices.</x:v>
      </x:c>
      <x:c r="F63" s="47" t="str">
        <x:v>Confirm the individualized plan and review recurring exceptions. Determine supervision need and least-restrictive safeguards; review incidents, wandering/exit risk and DT-013 implications.</x:v>
      </x:c>
      <x:c r="G63" s="47" t="str">
        <x:v>Occasional / situational</x:v>
      </x:c>
      <x:c r="H63" s="47" t="str">
        <x:v>Routine + trigger-based</x:v>
      </x:c>
      <x:c r="I63" s="47" t="str">
        <x:v>Regular supervision becomes necessary or unsafe judgment increases.</x:v>
      </x:c>
      <x:c r="J63" s="47" t="str">
        <x:v>Recommend only when the assessed need is active and requires staff action; nurse individualizes and approves before activation.</x:v>
      </x:c>
    </x:row>
    <x:row r="64" ht="72" customHeight="1">
      <x:c r="A64" s="47" t="str">
        <x:v>AS-13</x:v>
      </x:c>
      <x:c r="B64" s="47" t="str">
        <x:v>Safety / Supervision</x:v>
      </x:c>
      <x:c r="C64" s="47" t="n">
        <x:v>2</x:v>
      </x:c>
      <x:c r="D64" s="47" t="str">
        <x:v>Maintain safety through regular supervision and individualized precautions for identified risks while preserving freedom and independence.</x:v>
      </x:c>
      <x:c r="E64" s="47" t="str">
        <x:v>• Provide regular supervision and individualized safety precautions.
• Use predictable routine/environment to reduce risk.
• Supervise identified high-risk activities and exits as care plan requires.
• Communicate current risks and effective precautions at handoff.</x:v>
      </x:c>
      <x:c r="F64" s="47" t="str">
        <x:v>Establish planned monitoring and review trends at least daily or as ordered. Determine supervision need and least-restrictive safeguards; review incidents, wandering/exit risk and DT-013 implications.</x:v>
      </x:c>
      <x:c r="G64" s="47" t="str">
        <x:v>Regular throughout day</x:v>
      </x:c>
      <x:c r="H64" s="47" t="str">
        <x:v>Routine + trigger-based</x:v>
      </x:c>
      <x:c r="I64" s="47" t="str">
        <x:v>Exit-seeking, repeated unsafe acts, injury or frequent redirection need.</x:v>
      </x:c>
      <x:c r="J64" s="47" t="str">
        <x:v>Recommend only when the assessed need is active and requires staff action; nurse individualizes and approves before activation.</x:v>
      </x:c>
    </x:row>
    <x:row r="65" ht="72" customHeight="1">
      <x:c r="A65" s="47" t="str">
        <x:v>AS-13</x:v>
      </x:c>
      <x:c r="B65" s="47" t="str">
        <x:v>Safety / Supervision</x:v>
      </x:c>
      <x:c r="C65" s="47" t="n">
        <x:v>3</x:v>
      </x:c>
      <x:c r="D65" s="47" t="str">
        <x:v>Prevent injury through frequent supervision, redirection and individualized safety measures while using the least restrictive approach.</x:v>
      </x:c>
      <x:c r="E65" s="47" t="str">
        <x:v>• Provide frequent supervision/redirection during waking hours or identified periods.
• Use least restrictive environmental controls allowed by policy.
• Offer purposeful activity to reduce unsafe wandering/impulsivity.
• Maintain rapid response plan for elopement or serious safety event.</x:v>
      </x:c>
      <x:c r="F65" s="47" t="str">
        <x:v>Review each shift/day according to risk, coordinate interventions, and reassess deterioration. Determine supervision need and least-restrictive safeguards; review incidents, wandering/exit risk and DT-013 implications.</x:v>
      </x:c>
      <x:c r="G65" s="47" t="str">
        <x:v>Frequent / high-risk periods</x:v>
      </x:c>
      <x:c r="H65" s="47" t="str">
        <x:v>Routine + trigger-based</x:v>
      </x:c>
      <x:c r="I65" s="47" t="str">
        <x:v>Near-elopement, recurrent injury risk or need for continuous observation.</x:v>
      </x:c>
      <x:c r="J65" s="47" t="str">
        <x:v>Recommend only when the assessed need is active and requires staff action; nurse individualizes and approves before activation.</x:v>
      </x:c>
    </x:row>
    <x:row r="66" ht="72" customHeight="1">
      <x:c r="A66" s="47" t="str">
        <x:v>AS-13</x:v>
      </x:c>
      <x:c r="B66" s="47" t="str">
        <x:v>Safety / Supervision</x:v>
      </x:c>
      <x:c r="C66" s="47" t="n">
        <x:v>4</x:v>
      </x:c>
      <x:c r="D66" s="47" t="str">
        <x:v>Maintain safety through intensive individualized supervision and risk management while preserving dignity, meaningful activity and the least restrictive environment possible.</x:v>
      </x:c>
      <x:c r="E66" s="47" t="str">
        <x:v>• Provide intensive individualized supervision and risk management.
• Maintain team-wide safety plan with known triggers, routes and response steps.
• Use least restrictive measures and preserve meaningful movement/activity.
• Escalate when resident cannot be kept safe within current environment/staffing.</x:v>
      </x:c>
      <x:c r="F66" s="47" t="str">
        <x:v>Provide intensive nursing oversight; review each shift and evaluate MLR, DT-013, DT-014 and service capability. Determine supervision need and least-restrictive safeguards; review incidents, wandering/exit risk and DT-013 implications.</x:v>
      </x:c>
      <x:c r="G66" s="47" t="str">
        <x:v>Very frequent / near-continuous</x:v>
      </x:c>
      <x:c r="H66" s="47" t="str">
        <x:v>Routine + trigger-based</x:v>
      </x:c>
      <x:c r="I66" s="47" t="str">
        <x:v>Actual elopement, repeated dangerous behavior or need beyond service capability.</x:v>
      </x:c>
      <x:c r="J66" s="47" t="str">
        <x:v>Recommend only when the assessed need is active and requires staff action; nurse individualizes and approves before activation.</x:v>
      </x:c>
    </x:row>
    <x:row r="67" ht="72" customHeight="1">
      <x:c r="A67" s="47" t="str">
        <x:v>AS-14</x:v>
      </x:c>
      <x:c r="B67" s="47" t="str">
        <x:v>Reablement / Therapy / Functional Maintenance</x:v>
      </x:c>
      <x:c r="C67" s="47" t="n">
        <x:v>0</x:v>
      </x:c>
      <x:c r="D67" s="47" t="str">
        <x:v>Maintain current function and independence through normal daily activity; no active therapy carryover is required.</x:v>
      </x:c>
      <x:c r="E67" s="47" t="str">
        <x:v>• Encourage normal daily activity and self-directed mobility.
• Allow resident to perform functional tasks independently.
• Observe for decline in endurance, strength or function.
• Refer for reassessment if function changes.</x:v>
      </x:c>
      <x:c r="F67" s="47" t="str">
        <x:v>Confirm baseline and review only when a change or exception is reported. Validate restorative/therapy goals and ordered technique; coordinate PT/OT/SLP and monitor functional response.</x:v>
      </x:c>
      <x:c r="G67" s="47" t="str">
        <x:v>Routine</x:v>
      </x:c>
      <x:c r="H67" s="47" t="str">
        <x:v>Scheduled routine</x:v>
      </x:c>
      <x:c r="I67" s="47" t="str">
        <x:v>New functional decline, pain or new therapy recommendation.</x:v>
      </x:c>
      <x:c r="J67" s="47" t="str">
        <x:v>Recommend only when the assessed need is active and requires staff action; nurse individualizes and approves before activation.</x:v>
      </x:c>
    </x:row>
    <x:row r="68" ht="72" customHeight="1">
      <x:c r="A68" s="47" t="str">
        <x:v>AS-14</x:v>
      </x:c>
      <x:c r="B68" s="47" t="str">
        <x:v>Reablement / Therapy / Functional Maintenance</x:v>
      </x:c>
      <x:c r="C68" s="47" t="n">
        <x:v>1</x:v>
      </x:c>
      <x:c r="D68" s="47" t="str">
        <x:v>Maintain mobility, strength and independence through regular activity and simple exercise encouragement or home-program support.</x:v>
      </x:c>
      <x:c r="E68" s="47" t="str">
        <x:v>• Encourage prescribed/simple home exercise or walking program.
• Prompt participation in functional tasks rather than doing them for the resident.
• Record tolerance and reasons for missed activity when relevant.
• Use rest breaks and preferred activity times.</x:v>
      </x:c>
      <x:c r="F68" s="47" t="str">
        <x:v>Confirm the individualized plan and review recurring exceptions. Validate restorative/therapy goals and ordered technique; coordinate PT/OT/SLP and monitor functional response.</x:v>
      </x:c>
      <x:c r="G68" s="47" t="str">
        <x:v>Daily / several times weekly per plan</x:v>
      </x:c>
      <x:c r="H68" s="47" t="str">
        <x:v>Scheduled routine</x:v>
      </x:c>
      <x:c r="I68" s="47" t="str">
        <x:v>Pain, dizziness, reduced tolerance or need for formal therapy coordination.</x:v>
      </x:c>
      <x:c r="J68" s="47" t="str">
        <x:v>Recommend only when the assessed need is active and requires staff action; nurse individualizes and approves before activation.</x:v>
      </x:c>
    </x:row>
    <x:row r="69" ht="72" customHeight="1">
      <x:c r="A69" s="47" t="str">
        <x:v>AS-14</x:v>
      </x:c>
      <x:c r="B69" s="47" t="str">
        <x:v>Reablement / Therapy / Functional Maintenance</x:v>
      </x:c>
      <x:c r="C69" s="47" t="n">
        <x:v>2</x:v>
      </x:c>
      <x:c r="D69" s="47" t="str">
        <x:v>Improve or maintain function through regular staff carryover of the therapy plan and coordination with therapy providers.</x:v>
      </x:c>
      <x:c r="E69" s="47" t="str">
        <x:v>• Carry over therapist-prescribed exercises/techniques during daily care.
• Use therapy-recommended transfer, dressing or mobility strategies.
• Document completion/tolerance and barriers.
• Coordinate schedule/progress updates with PT/OT/ST.</x:v>
      </x:c>
      <x:c r="F69" s="47" t="str">
        <x:v>Establish planned monitoring and review trends at least daily or as ordered. Validate restorative/therapy goals and ordered technique; coordinate PT/OT/SLP and monitor functional response.</x:v>
      </x:c>
      <x:c r="G69" s="47" t="str">
        <x:v>Regular per therapy plan</x:v>
      </x:c>
      <x:c r="H69" s="47" t="str">
        <x:v>Scheduled routine</x:v>
      </x:c>
      <x:c r="I69" s="47" t="str">
        <x:v>Functional decline, inability to perform program safely or therapy plan changes.</x:v>
      </x:c>
      <x:c r="J69" s="47" t="str">
        <x:v>Recommend only when the assessed need is active and requires staff action; nurse individualizes and approves before activation.</x:v>
      </x:c>
    </x:row>
    <x:row r="70" ht="72" customHeight="1">
      <x:c r="A70" s="47" t="str">
        <x:v>AS-14</x:v>
      </x:c>
      <x:c r="B70" s="47" t="str">
        <x:v>Reablement / Therapy / Functional Maintenance</x:v>
      </x:c>
      <x:c r="C70" s="47" t="n">
        <x:v>3</x:v>
      </x:c>
      <x:c r="D70" s="47" t="str">
        <x:v>Maximize functional potential through frequent structured therapy carryover, staff assistance and ongoing coordination with the therapy team.</x:v>
      </x:c>
      <x:c r="E70" s="47" t="str">
        <x:v>• Provide frequent structured therapy carryover integrated into multiple daily routines.
• Coordinate goals and technique across caregiving, nursing and therapy.
• Track measurable functional response/tolerance.
• Adjust daily workload/rest based on therapy guidance.</x:v>
      </x:c>
      <x:c r="F70" s="47" t="str">
        <x:v>Review each shift/day according to risk, coordinate interventions, and reassess deterioration. Validate restorative/therapy goals and ordered technique; coordinate PT/OT/SLP and monitor functional response.</x:v>
      </x:c>
      <x:c r="G70" s="47" t="str">
        <x:v>Frequent / multiple daily care episodes</x:v>
      </x:c>
      <x:c r="H70" s="47" t="str">
        <x:v>Scheduled routine</x:v>
      </x:c>
      <x:c r="I70" s="47" t="str">
        <x:v>Rapid decline, pain/injury, inability to tolerate program or need for higher rehab level.</x:v>
      </x:c>
      <x:c r="J70" s="47" t="str">
        <x:v>Recommend only when the assessed need is active and requires staff action; nurse individualizes and approves before activation.</x:v>
      </x:c>
    </x:row>
    <x:row r="71" ht="72" customHeight="1">
      <x:c r="A71" s="47" t="str">
        <x:v>AS-14</x:v>
      </x:c>
      <x:c r="B71" s="47" t="str">
        <x:v>Reablement / Therapy / Functional Maintenance</x:v>
      </x:c>
      <x:c r="C71" s="47" t="n">
        <x:v>4</x:v>
      </x:c>
      <x:c r="D71" s="47" t="str">
        <x:v>Maximize achievable function, comfort and participation through intensive multidisciplinary reablement support integrated into daily care.</x:v>
      </x:c>
      <x:c r="E71" s="47" t="str">
        <x:v>• Integrate intensive multidisciplinary reablement support into daily care within capability.
• Use consistent PT/OT/ST-approved techniques across shifts.
• Balance restorative goals with fatigue, safety and comfort.
• Hold/escalate exercises when clinical status changes.</x:v>
      </x:c>
      <x:c r="F71" s="47" t="str">
        <x:v>Provide intensive nursing oversight; review each shift and evaluate MLR, DT-013, DT-014 and service capability. Validate restorative/therapy goals and ordered technique; coordinate PT/OT/SLP and monitor functional response.</x:v>
      </x:c>
      <x:c r="G71" s="47" t="str">
        <x:v>High-frequency / multidisciplinary</x:v>
      </x:c>
      <x:c r="H71" s="47" t="str">
        <x:v>Scheduled routine</x:v>
      </x:c>
      <x:c r="I71" s="47" t="str">
        <x:v>Clinical instability, unsafe therapy needs or rehab intensity beyond assisted-living capability.</x:v>
      </x:c>
      <x:c r="J71" s="47" t="str">
        <x:v>Recommend only when the assessed need is active and requires staff action; nurse individualizes and approves before activation.</x:v>
      </x:c>
    </x:row>
  </x:sheetData>
  <x:pageMargins left="0.7" right="0.7" top="0.75" bottom="0.75" header="0.3" footer="0.3"/>
  <x:tableParts count="1">
    <x:tablePart xmlns:r="http://schemas.openxmlformats.org/officeDocument/2006/relationships" r:id="R0a1be10c72024dbe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8" hidden="0" customWidth="1"/>
    <x:col min="3" max="3" width="14" hidden="0" customWidth="1"/>
    <x:col min="4" max="4" width="48" hidden="0" customWidth="1"/>
    <x:col min="5" max="5" width="48" hidden="0" customWidth="1"/>
    <x:col min="6" max="6" width="42" hidden="0" customWidth="1"/>
    <x:col min="7" max="7" width="35" hidden="0" customWidth="1"/>
  </x:cols>
  <x:sheetData>
    <x:row r="1">
      <x:c r="A1" s="49" t="str">
        <x:v>Condition / Risk</x:v>
      </x:c>
      <x:c r="B1" s="49" t="str">
        <x:v>Linked AS Domain</x:v>
      </x:c>
      <x:c r="C1" s="49" t="str">
        <x:v>Typical AS Level</x:v>
      </x:c>
      <x:c r="D1" s="49" t="str">
        <x:v>Caregiver Condition-Specific Tasks</x:v>
      </x:c>
      <x:c r="E1" s="49" t="str">
        <x:v>Nurse Tasks / Clinical Oversight</x:v>
      </x:c>
      <x:c r="F1" s="49" t="str">
        <x:v>Orders / Safeguards</x:v>
      </x:c>
      <x:c r="G1" s="49" t="str">
        <x:v>24-Hour Application</x:v>
      </x:c>
    </x:row>
    <x:row r="2" ht="64" customHeight="1">
      <x:c r="A2" s="47" t="str">
        <x:v>Dementia / cognitive impairment</x:v>
      </x:c>
      <x:c r="B2" s="47" t="str">
        <x:v>AS-04 Cognition / Self-Direction</x:v>
      </x:c>
      <x:c r="C2" s="47" t="str">
        <x:v>1–4</x:v>
      </x:c>
      <x:c r="D2" s="47" t="str">
        <x:v>Use simple one-step cues, allow processing time, keep routines/items consistent, and document effective cues.</x:v>
      </x:c>
      <x:c r="E2" s="47" t="str">
        <x:v>Confirm baseline cognition and safety risks; assess acute change; approve cueing, medication and supervision plan.</x:v>
      </x:c>
      <x:c r="F2" s="47" t="str">
        <x:v>Increase structure and supervision as score rises; acute change is not assumed to be dementia.</x:v>
      </x:c>
      <x:c r="G2" s="47" t="str">
        <x:v>Add only to the time/shift where the intervention is required; PRN and emergency actions remain trigger-based.</x:v>
      </x:c>
    </x:row>
    <x:row r="3" ht="64" customHeight="1">
      <x:c r="A3" s="47" t="str">
        <x:v>Dementia / cognitive impairment</x:v>
      </x:c>
      <x:c r="B3" s="47" t="str">
        <x:v>AS-07 Medication Support</x:v>
      </x:c>
      <x:c r="C3" s="47" t="str">
        <x:v>1–4</x:v>
      </x:c>
      <x:c r="D3" s="47" t="str">
        <x:v>Provide reminders through direct supervision/assistance as needed; do not leave medications unattended when self-management is unsafe.</x:v>
      </x:c>
      <x:c r="E3" s="47" t="str">
        <x:v>Confirm baseline cognition and safety risks; assess acute change; approve cueing, medication and supervision plan.</x:v>
      </x:c>
      <x:c r="F3" s="47" t="str">
        <x:v>Follow MAR/prescriber orders and authorized medication scope.</x:v>
      </x:c>
      <x:c r="G3" s="47" t="str">
        <x:v>Add only to the time/shift where the intervention is required; PRN and emergency actions remain trigger-based.</x:v>
      </x:c>
    </x:row>
    <x:row r="4" ht="64" customHeight="1">
      <x:c r="A4" s="47" t="str">
        <x:v>Dementia / cognitive impairment</x:v>
      </x:c>
      <x:c r="B4" s="47" t="str">
        <x:v>AS-13 Safety / Supervision</x:v>
      </x:c>
      <x:c r="C4" s="47" t="str">
        <x:v>2–4</x:v>
      </x:c>
      <x:c r="D4" s="47" t="str">
        <x:v>Use wayfinding cues, supervised walking, individualized exit-risk plan and least restrictive environmental safeguards.</x:v>
      </x:c>
      <x:c r="E4" s="47" t="str">
        <x:v>Confirm baseline cognition and safety risks; assess acute change; approve cueing, medication and supervision plan.</x:v>
      </x:c>
      <x:c r="F4" s="47" t="str">
        <x:v>Escalate near-elopement or inability to maintain safety.</x:v>
      </x:c>
      <x:c r="G4" s="47" t="str">
        <x:v>Add only to the time/shift where the intervention is required; PRN and emergency actions remain trigger-based.</x:v>
      </x:c>
    </x:row>
    <x:row r="5" ht="64" customHeight="1">
      <x:c r="A5" s="47" t="str">
        <x:v>Dementia / cognitive impairment</x:v>
      </x:c>
      <x:c r="B5" s="47" t="str">
        <x:v>AS-12 Sleep / Night Routine</x:v>
      </x:c>
      <x:c r="C5" s="47" t="str">
        <x:v>1–4</x:v>
      </x:c>
      <x:c r="D5" s="47" t="str">
        <x:v>Maintain predictable day/night routine, reduce evening stimulation and use calm reorientation/reassurance.</x:v>
      </x:c>
      <x:c r="E5" s="47" t="str">
        <x:v>Confirm baseline cognition and safety risks; assess acute change; approve cueing, medication and supervision plan.</x:v>
      </x:c>
      <x:c r="F5" s="47" t="str">
        <x:v>Sudden worsening may reflect delirium/illness and needs clinical review.</x:v>
      </x:c>
      <x:c r="G5" s="47" t="str">
        <x:v>Add only to the time/shift where the intervention is required; PRN and emergency actions remain trigger-based.</x:v>
      </x:c>
    </x:row>
    <x:row r="6" ht="64" customHeight="1">
      <x:c r="A6" s="47" t="str">
        <x:v>Diabetes</x:v>
      </x:c>
      <x:c r="B6" s="47" t="str">
        <x:v>AS-06 Clinical Monitoring / Condition Management</x:v>
      </x:c>
      <x:c r="C6" s="47" t="str">
        <x:v>1–4</x:v>
      </x:c>
      <x:c r="D6" s="47" t="str">
        <x:v>Check glucose and symptoms at ordered frequency; coordinate trends with meals/medications and report out-of-range findings per parameters.</x:v>
      </x:c>
      <x:c r="E6" s="47" t="str">
        <x:v>Verify glucose/medication/meal orders and resident-specific parameters; review trends and hypo/hyperglycemia events.</x:v>
      </x:c>
      <x:c r="F6" s="47" t="str">
        <x:v>Do not invent glucose targets; use resident-specific orders.</x:v>
      </x:c>
      <x:c r="G6" s="47" t="str">
        <x:v>Add only to the time/shift where the intervention is required; PRN and emergency actions remain trigger-based.</x:v>
      </x:c>
    </x:row>
    <x:row r="7" ht="64" customHeight="1">
      <x:c r="A7" s="47" t="str">
        <x:v>Diabetes</x:v>
      </x:c>
      <x:c r="B7" s="47" t="str">
        <x:v>AS-07 Medication Support</x:v>
      </x:c>
      <x:c r="C7" s="47" t="str">
        <x:v>1–4</x:v>
      </x:c>
      <x:c r="D7" s="47" t="str">
        <x:v>Coordinate diabetes medication timing with meals and glucose monitoring as ordered; observe for hypo/hyperglycemia symptoms.</x:v>
      </x:c>
      <x:c r="E7" s="47" t="str">
        <x:v>Verify glucose/medication/meal orders and resident-specific parameters; review trends and hypo/hyperglycemia events.</x:v>
      </x:c>
      <x:c r="F7" s="47" t="str">
        <x:v>Medication changes require prescriber order.</x:v>
      </x:c>
      <x:c r="G7" s="47" t="str">
        <x:v>Add only to the time/shift where the intervention is required; PRN and emergency actions remain trigger-based.</x:v>
      </x:c>
    </x:row>
    <x:row r="8" ht="64" customHeight="1">
      <x:c r="A8" s="47" t="str">
        <x:v>Diabetes</x:v>
      </x:c>
      <x:c r="B8" s="47" t="str">
        <x:v>AS-08 Nutrition / Hydration / Swallowing</x:v>
      </x:c>
      <x:c r="C8" s="47" t="str">
        <x:v>0–3</x:v>
      </x:c>
      <x:c r="D8" s="47" t="str">
        <x:v>Support consistent meals and appropriate choices within prescribed diet; monitor poor intake when medication may lower glucose.</x:v>
      </x:c>
      <x:c r="E8" s="47" t="str">
        <x:v>Verify glucose/medication/meal orders and resident-specific parameters; review trends and hypo/hyperglycemia events.</x:v>
      </x:c>
      <x:c r="F8" s="47" t="str">
        <x:v>Avoid unnecessarily restrictive diets without an order.</x:v>
      </x:c>
      <x:c r="G8" s="47" t="str">
        <x:v>Add only to the time/shift where the intervention is required; PRN and emergency actions remain trigger-based.</x:v>
      </x:c>
    </x:row>
    <x:row r="9" ht="64" customHeight="1">
      <x:c r="A9" s="47" t="str">
        <x:v>Diabetes</x:v>
      </x:c>
      <x:c r="B9" s="47" t="str">
        <x:v>AS-11 Skin Integrity</x:v>
      </x:c>
      <x:c r="C9" s="47" t="str">
        <x:v>0–3</x:v>
      </x:c>
      <x:c r="D9" s="47" t="str">
        <x:v>Observe feet/skin for breaks, redness, warmth or infection and report promptly.</x:v>
      </x:c>
      <x:c r="E9" s="47" t="str">
        <x:v>Verify glucose/medication/meal orders and resident-specific parameters; review trends and hypo/hyperglycemia events.</x:v>
      </x:c>
      <x:c r="F9" s="47" t="str">
        <x:v>No invasive foot care outside staff scope.</x:v>
      </x:c>
      <x:c r="G9" s="47" t="str">
        <x:v>Add only to the time/shift where the intervention is required; PRN and emergency actions remain trigger-based.</x:v>
      </x:c>
    </x:row>
    <x:row r="10" ht="64" customHeight="1">
      <x:c r="A10" s="47" t="str">
        <x:v>Hypertension</x:v>
      </x:c>
      <x:c r="B10" s="47" t="str">
        <x:v>AS-06 Clinical Monitoring / Condition Management</x:v>
      </x:c>
      <x:c r="C10" s="47" t="str">
        <x:v>1–3</x:v>
      </x:c>
      <x:c r="D10" s="47" t="str">
        <x:v>Monitor BP and related symptoms at ordered frequency; use same technique and report persistent abnormal findings.</x:v>
      </x:c>
      <x:c r="E10" s="47" t="str">
        <x:v>Verify BP technique, frequency and parameters; review persistent abnormal readings and symptoms.</x:v>
      </x:c>
      <x:c r="F10" s="47" t="str">
        <x:v>Resident-specific parameters come from clinician orders.</x:v>
      </x:c>
      <x:c r="G10" s="47" t="str">
        <x:v>Add only to the time/shift where the intervention is required; PRN and emergency actions remain trigger-based.</x:v>
      </x:c>
    </x:row>
    <x:row r="11" ht="64" customHeight="1">
      <x:c r="A11" s="47" t="str">
        <x:v>CKD history / renal disease</x:v>
      </x:c>
      <x:c r="B11" s="47" t="str">
        <x:v>AS-06 Clinical Monitoring / Condition Management</x:v>
      </x:c>
      <x:c r="C11" s="47" t="str">
        <x:v>1–4</x:v>
      </x:c>
      <x:c r="D11" s="47" t="str">
        <x:v>Monitor hydration, edema, weight, BP and urine changes if ordered; report deterioration early.</x:v>
      </x:c>
      <x:c r="E11" s="47" t="str">
        <x:v>Confirm active renal status and prescribed diet/fluid plan; review weight, edema, BP, hydration and urine changes.</x:v>
      </x:c>
      <x:c r="F11" s="47" t="str">
        <x:v>Do not impose fluid or renal-diet restrictions unless prescribed.</x:v>
      </x:c>
      <x:c r="G11" s="47" t="str">
        <x:v>Add only to the time/shift where the intervention is required; PRN and emergency actions remain trigger-based.</x:v>
      </x:c>
    </x:row>
    <x:row r="12" ht="64" customHeight="1">
      <x:c r="A12" s="47" t="str">
        <x:v>CKD history / renal disease</x:v>
      </x:c>
      <x:c r="B12" s="47" t="str">
        <x:v>AS-08 Nutrition / Hydration / Swallowing</x:v>
      </x:c>
      <x:c r="C12" s="47" t="str">
        <x:v>0–3</x:v>
      </x:c>
      <x:c r="D12" s="47" t="str">
        <x:v>Support adequate intake while following any prescribed renal diet/fluid plan.</x:v>
      </x:c>
      <x:c r="E12" s="47" t="str">
        <x:v>Confirm active renal status and prescribed diet/fluid plan; review weight, edema, BP, hydration and urine changes.</x:v>
      </x:c>
      <x:c r="F12" s="47" t="str">
        <x:v>Verify whether CKD is active/current rather than history only.</x:v>
      </x:c>
      <x:c r="G12" s="47" t="str">
        <x:v>Add only to the time/shift where the intervention is required; PRN and emergency actions remain trigger-based.</x:v>
      </x:c>
    </x:row>
    <x:row r="13" ht="64" customHeight="1">
      <x:c r="A13" s="47" t="str">
        <x:v>Frailty / post-hospital deconditioning</x:v>
      </x:c>
      <x:c r="B13" s="47" t="str">
        <x:v>AS-02 Mobility / Transfers</x:v>
      </x:c>
      <x:c r="C13" s="47" t="str">
        <x:v>1–3</x:v>
      </x:c>
      <x:c r="D13" s="47" t="str">
        <x:v>Use short supervised walks, rest breaks and consistent transfer technique; avoid rushing.</x:v>
      </x:c>
      <x:c r="E13" s="47" t="str">
        <x:v>Establish provisional baseline, monitor recovery/decline and coordinate therapy; reassess within defined review period.</x:v>
      </x:c>
      <x:c r="F13" s="47" t="str">
        <x:v>Reassess if assistance or endurance worsens.</x:v>
      </x:c>
      <x:c r="G13" s="47" t="str">
        <x:v>Add only to the time/shift where the intervention is required; PRN and emergency actions remain trigger-based.</x:v>
      </x:c>
    </x:row>
    <x:row r="14" ht="64" customHeight="1">
      <x:c r="A14" s="47" t="str">
        <x:v>Frailty / post-hospital deconditioning</x:v>
      </x:c>
      <x:c r="B14" s="47" t="str">
        <x:v>AS-08 Nutrition / Hydration / Swallowing</x:v>
      </x:c>
      <x:c r="C14" s="47" t="str">
        <x:v>1–3</x:v>
      </x:c>
      <x:c r="D14" s="47" t="str">
        <x:v>Track intake/weight if at risk and offer nutrient-dense preferred foods/supplements as ordered.</x:v>
      </x:c>
      <x:c r="E14" s="47" t="str">
        <x:v>Establish provisional baseline, monitor recovery/decline and coordinate therapy; reassess within defined review period.</x:v>
      </x:c>
      <x:c r="F14" s="47" t="str">
        <x:v>Escalate ongoing weight loss or dehydration.</x:v>
      </x:c>
      <x:c r="G14" s="47" t="str">
        <x:v>Add only to the time/shift where the intervention is required; PRN and emergency actions remain trigger-based.</x:v>
      </x:c>
    </x:row>
    <x:row r="15" ht="64" customHeight="1">
      <x:c r="A15" s="47" t="str">
        <x:v>Frailty / post-hospital deconditioning</x:v>
      </x:c>
      <x:c r="B15" s="47" t="str">
        <x:v>AS-14 Reablement / Therapy / Functional Maintenance</x:v>
      </x:c>
      <x:c r="C15" s="47" t="str">
        <x:v>1–3</x:v>
      </x:c>
      <x:c r="D15" s="47" t="str">
        <x:v>Encourage graded activity and carry over therapist-prescribed exercises/functional tasks.</x:v>
      </x:c>
      <x:c r="E15" s="47" t="str">
        <x:v>Establish provisional baseline, monitor recovery/decline and coordinate therapy; reassess within defined review period.</x:v>
      </x:c>
      <x:c r="F15" s="47" t="str">
        <x:v>Hold and report activity if pain, dizziness or acute decline occurs.</x:v>
      </x:c>
      <x:c r="G15" s="47" t="str">
        <x:v>Add only to the time/shift where the intervention is required; PRN and emergency actions remain trigger-based.</x:v>
      </x:c>
    </x:row>
    <x:row r="16" ht="64" customHeight="1">
      <x:c r="A16" s="47" t="str">
        <x:v>Fall history / gait instability</x:v>
      </x:c>
      <x:c r="B16" s="47" t="str">
        <x:v>AS-03 Fall Risk</x:v>
      </x:c>
      <x:c r="C16" s="47" t="str">
        <x:v>1–4</x:v>
      </x:c>
      <x:c r="D16" s="47" t="str">
        <x:v>Individualize precautions, supervise high-risk activity, review near-falls/falls and address environmental contributors.</x:v>
      </x:c>
      <x:c r="E16" s="47" t="str">
        <x:v>Complete fall-risk review after fall/near-fall and update mobility, medication and environmental interventions.</x:v>
      </x:c>
      <x:c r="F16" s="47" t="str">
        <x:v>Increase supervision if recurrent unsafe mobility occurs.</x:v>
      </x:c>
      <x:c r="G16" s="47" t="str">
        <x:v>Add only to the time/shift where the intervention is required; PRN and emergency actions remain trigger-based.</x:v>
      </x:c>
    </x:row>
    <x:row r="17" ht="64" customHeight="1">
      <x:c r="A17" s="47" t="str">
        <x:v>Fall history / gait instability</x:v>
      </x:c>
      <x:c r="B17" s="47" t="str">
        <x:v>AS-02 Mobility / Transfers</x:v>
      </x:c>
      <x:c r="C17" s="47" t="str">
        <x:v>1–4</x:v>
      </x:c>
      <x:c r="D17" s="47" t="str">
        <x:v>Ensure device setup, standby/contact guard or physical assistance matches current mobility status.</x:v>
      </x:c>
      <x:c r="E17" s="47" t="str">
        <x:v>Complete fall-risk review after fall/near-fall and update mobility, medication and environmental interventions.</x:v>
      </x:c>
      <x:c r="F17" s="47" t="str">
        <x:v>Reassess after any fall or new gait/balance change.</x:v>
      </x:c>
      <x:c r="G17" s="47" t="str">
        <x:v>Add only to the time/shift where the intervention is required; PRN and emergency actions remain trigger-based.</x:v>
      </x:c>
    </x:row>
    <x:row r="18" ht="64" customHeight="1">
      <x:c r="A18" s="47" t="str">
        <x:v>Malnutrition / low weight</x:v>
      </x:c>
      <x:c r="B18" s="47" t="str">
        <x:v>AS-08 Nutrition / Hydration / Swallowing</x:v>
      </x:c>
      <x:c r="C18" s="47" t="str">
        <x:v>2–4</x:v>
      </x:c>
      <x:c r="D18" s="47" t="str">
        <x:v>Track intake and weight trend, provide meal support and prescribed supplements, and escalate persistent poor intake.</x:v>
      </x:c>
      <x:c r="E18" s="47" t="str">
        <x:v>Validate nutrition risk and weight trend; coordinate dietitian/prescriber support and review persistent poor intake.</x:v>
      </x:c>
      <x:c r="F18" s="47" t="str">
        <x:v>Verify current weight/BMI/trend and formal diagnosis.</x:v>
      </x:c>
      <x:c r="G18" s="47" t="str">
        <x:v>Add only to the time/shift where the intervention is required; PRN and emergency actions remain trigger-based.</x:v>
      </x:c>
    </x:row>
    <x:row r="19" ht="64" customHeight="1">
      <x:c r="A19" s="47" t="str">
        <x:v>Urinary incontinence / UTI risk</x:v>
      </x:c>
      <x:c r="B19" s="47" t="str">
        <x:v>AS-10 Continence / Toileting</x:v>
      </x:c>
      <x:c r="C19" s="47" t="str">
        <x:v>1–4</x:v>
      </x:c>
      <x:c r="D19" s="47" t="str">
        <x:v>Use individualized toileting schedule, prompt product changes, hygiene/skin protection and observe for urinary symptoms.</x:v>
      </x:c>
      <x:c r="E19" s="47" t="str">
        <x:v>Assess new urinary/systemic symptoms and continence pattern; avoid diagnosing UTI from urine appearance alone.</x:v>
      </x:c>
      <x:c r="F19" s="47" t="str">
        <x:v>New fever/confusion/dysuria may need clinical review.</x:v>
      </x:c>
      <x:c r="G19" s="47" t="str">
        <x:v>Add only to the time/shift where the intervention is required; PRN and emergency actions remain trigger-based.</x:v>
      </x:c>
    </x:row>
    <x:row r="20" ht="64" customHeight="1">
      <x:c r="A20" s="47" t="str">
        <x:v>Urinary incontinence / UTI risk</x:v>
      </x:c>
      <x:c r="B20" s="47" t="str">
        <x:v>AS-06 Clinical Monitoring / Condition Management</x:v>
      </x:c>
      <x:c r="C20" s="47" t="str">
        <x:v>1–3</x:v>
      </x:c>
      <x:c r="D20" s="47" t="str">
        <x:v>Watch for systemic change associated with urinary symptoms, especially after recent UTI/hospitalization.</x:v>
      </x:c>
      <x:c r="E20" s="47" t="str">
        <x:v>Assess new urinary/systemic symptoms and continence pattern; avoid diagnosing UTI from urine appearance alone.</x:v>
      </x:c>
      <x:c r="F20" s="47" t="str">
        <x:v>Do not label cloudy/foul urine alone as infection; follow clinical protocol.</x:v>
      </x:c>
      <x:c r="G20" s="47" t="str">
        <x:v>Add only to the time/shift where the intervention is required; PRN and emergency actions remain trigger-based.</x:v>
      </x:c>
    </x:row>
    <x:row r="21" ht="64" customHeight="1">
      <x:c r="A21" s="47" t="str">
        <x:v>Dysphagia</x:v>
      </x:c>
      <x:c r="B21" s="47" t="str">
        <x:v>AS-08 Nutrition / Hydration / Swallowing</x:v>
      </x:c>
      <x:c r="C21" s="47" t="str">
        <x:v>2–4</x:v>
      </x:c>
      <x:c r="D21" s="47" t="str">
        <x:v>Follow SLP-prescribed texture, positioning and pacing; stop and report coughing/choking/wet voice.</x:v>
      </x:c>
      <x:c r="E21" s="47" t="str">
        <x:v>Verify SLP/diet orders and aspiration plan; assess coughing, choking or wet voice and escalate urgently when required.</x:v>
      </x:c>
      <x:c r="F21" s="47" t="str">
        <x:v>Emergency response for choking; do not modify texture independently.</x:v>
      </x:c>
      <x:c r="G21" s="47" t="str">
        <x:v>Add only to the time/shift where the intervention is required; PRN and emergency actions remain trigger-based.</x:v>
      </x:c>
    </x:row>
    <x:row r="22" ht="64" customHeight="1">
      <x:c r="A22" s="47" t="str">
        <x:v>Stroke / hemiparesis</x:v>
      </x:c>
      <x:c r="B22" s="47" t="str">
        <x:v>AS-02 Mobility / Transfers</x:v>
      </x:c>
      <x:c r="C22" s="47" t="str">
        <x:v>2–4</x:v>
      </x:c>
      <x:c r="D22" s="47" t="str">
        <x:v>Use therapy-prescribed transfer side, device and assistance level; protect affected arm and avoid pulling.</x:v>
      </x:c>
      <x:c r="E22" s="47" t="str">
        <x:v>Validate neurologic baseline and transfer/ADL techniques; urgently assess new neurologic change.</x:v>
      </x:c>
      <x:c r="F22" s="47" t="str">
        <x:v>New neurologic change is urgent.</x:v>
      </x:c>
      <x:c r="G22" s="47" t="str">
        <x:v>Add only to the time/shift where the intervention is required; PRN and emergency actions remain trigger-based.</x:v>
      </x:c>
    </x:row>
    <x:row r="23" ht="64" customHeight="1">
      <x:c r="A23" s="47" t="str">
        <x:v>Stroke / hemiparesis</x:v>
      </x:c>
      <x:c r="B23" s="47" t="str">
        <x:v>AS-01 ADLs / Personal Care</x:v>
      </x:c>
      <x:c r="C23" s="47" t="str">
        <x:v>1–4</x:v>
      </x:c>
      <x:c r="D23" s="47" t="str">
        <x:v>Allow participation using stronger side/adaptive methods and follow OT dressing/grooming technique when prescribed.</x:v>
      </x:c>
      <x:c r="E23" s="47" t="str">
        <x:v>Validate neurologic baseline and transfer/ADL techniques; urgently assess new neurologic change.</x:v>
      </x:c>
      <x:c r="F23" s="47" t="str">
        <x:v>Adjust workload for fatigue.</x:v>
      </x:c>
      <x:c r="G23" s="47" t="str">
        <x:v>Add only to the time/shift where the intervention is required; PRN and emergency actions remain trigger-based.</x:v>
      </x:c>
    </x:row>
    <x:row r="24" ht="64" customHeight="1">
      <x:c r="A24" s="47" t="str">
        <x:v>Parkinsonism</x:v>
      </x:c>
      <x:c r="B24" s="47" t="str">
        <x:v>AS-02 Mobility / Transfers</x:v>
      </x:c>
      <x:c r="C24" s="47" t="str">
        <x:v>1–4</x:v>
      </x:c>
      <x:c r="D24" s="47" t="str">
        <x:v>Allow time for initiation/freezing, use therapy-approved cues and avoid pulling/rushing.</x:v>
      </x:c>
      <x:c r="E24" s="47" t="str">
        <x:v>Review medication timing and mobility change; coordinate therapy-approved cueing and reassess sudden decline.</x:v>
      </x:c>
      <x:c r="F24" s="47" t="str">
        <x:v>Report sudden mobility decline.</x:v>
      </x:c>
      <x:c r="G24" s="47" t="str">
        <x:v>Add only to the time/shift where the intervention is required; PRN and emergency actions remain trigger-based.</x:v>
      </x:c>
    </x:row>
    <x:row r="25" ht="64" customHeight="1">
      <x:c r="A25" s="47" t="str">
        <x:v>Hearing loss</x:v>
      </x:c>
      <x:c r="B25" s="47" t="str">
        <x:v>AS-09 Communication</x:v>
      </x:c>
      <x:c r="C25" s="47" t="str">
        <x:v>1–4</x:v>
      </x:c>
      <x:c r="D25" s="47" t="str">
        <x:v>Face resident, reduce background noise, ensure hearing aid access and use written/visual alternatives as needed.</x:v>
      </x:c>
      <x:c r="E25" s="47" t="str">
        <x:v>Confirm hearing aids/sensory support and communication method; refer when unresolved.</x:v>
      </x:c>
      <x:c r="F25" s="47" t="str">
        <x:v>Check sensory aids before attributing poor response to cognition.</x:v>
      </x:c>
      <x:c r="G25" s="47" t="str">
        <x:v>Add only to the time/shift where the intervention is required; PRN and emergency actions remain trigger-based.</x:v>
      </x:c>
    </x:row>
    <x:row r="26" ht="64" customHeight="1">
      <x:c r="A26" s="47" t="str">
        <x:v>Visual impairment</x:v>
      </x:c>
      <x:c r="B26" s="47" t="str">
        <x:v>AS-09 Communication</x:v>
      </x:c>
      <x:c r="C26" s="47" t="str">
        <x:v>1–4</x:v>
      </x:c>
      <x:c r="D26" s="47" t="str">
        <x:v>Use good lighting, contrast, consistent object placement and verbal orientation to environment.</x:v>
      </x:c>
      <x:c r="E26" s="47" t="str">
        <x:v>Confirm visual supports and safety implications; review new visual change.</x:v>
      </x:c>
      <x:c r="F26" s="47" t="str">
        <x:v>Avoid moving furniture/supplies unnecessarily.</x:v>
      </x:c>
      <x:c r="G26" s="47" t="str">
        <x:v>Add only to the time/shift where the intervention is required; PRN and emergency actions remain trigger-based.</x:v>
      </x:c>
    </x:row>
    <x:row r="27" ht="64" customHeight="1">
      <x:c r="A27" s="47" t="str">
        <x:v>Pressure injury / skin breakdown</x:v>
      </x:c>
      <x:c r="B27" s="47" t="str">
        <x:v>AS-11 Skin Integrity</x:v>
      </x:c>
      <x:c r="C27" s="47" t="str">
        <x:v>2–4</x:v>
      </x:c>
      <x:c r="D27" s="47" t="str">
        <x:v>Follow wound orders, pressure off-loading/repositioning plan and track deterioration/infection signs.</x:v>
      </x:c>
      <x:c r="E27" s="47" t="str">
        <x:v>Stage/document per policy and orders; oversee wound treatment, pressure relief and infection escalation.</x:v>
      </x:c>
      <x:c r="F27" s="47" t="str">
        <x:v>Escalate rapidly worsening wound/systemic infection.</x:v>
      </x:c>
      <x:c r="G27" s="47" t="str">
        <x:v>Add only to the time/shift where the intervention is required; PRN and emergency actions remain trigger-based.</x:v>
      </x:c>
    </x:row>
    <x:row r="28" ht="64" customHeight="1">
      <x:c r="A28" s="47" t="str">
        <x:v>Anxiety / agitation</x:v>
      </x:c>
      <x:c r="B28" s="47" t="str">
        <x:v>AS-05 Behavior / BPSD</x:v>
      </x:c>
      <x:c r="C28" s="47" t="str">
        <x:v>1–4</x:v>
      </x:c>
      <x:c r="D28" s="47" t="str">
        <x:v>Use calm reassurance, predictable explanations, trigger reduction and individualized calming activities.</x:v>
      </x:c>
      <x:c r="E28" s="47" t="str">
        <x:v>Assess triggers and medical causes; approve non-drug interventions and review medication/PRN use when ordered.</x:v>
      </x:c>
      <x:c r="F28" s="47" t="str">
        <x:v>New or severe behavior change needs clinical cause review.</x:v>
      </x:c>
      <x:c r="G28" s="47" t="str">
        <x:v>Add only to the time/shift where the intervention is required; PRN and emergency actions remain trigger-based.</x:v>
      </x:c>
    </x:row>
    <x:row r="29" ht="64" customHeight="1">
      <x:c r="A29" s="47" t="str">
        <x:v>Sleep disturbance / sundowning</x:v>
      </x:c>
      <x:c r="B29" s="47" t="str">
        <x:v>AS-12 Sleep / Night Routine</x:v>
      </x:c>
      <x:c r="C29" s="47" t="str">
        <x:v>1–4</x:v>
      </x:c>
      <x:c r="D29" s="47" t="str">
        <x:v>Use consistent bedtime routine, daytime activity/light exposure, low-stimulation evening and address pain/toileting needs.</x:v>
      </x:c>
      <x:c r="E29" s="47" t="str">
        <x:v>Assess sleep pattern and causes; review acute change for delirium/illness and approve night interventions.</x:v>
      </x:c>
      <x:c r="F29" s="47" t="str">
        <x:v>Sudden severe change may be delirium/illness.</x:v>
      </x:c>
      <x:c r="G29" s="47" t="str">
        <x:v>Add only to the time/shift where the intervention is required; PRN and emergency actions remain trigger-based.</x:v>
      </x:c>
    </x:row>
  </x:sheetData>
  <x:pageMargins left="0.7" right="0.7" top="0.75" bottom="0.75" header="0.3" footer="0.3"/>
  <x:tableParts count="1">
    <x:tablePart xmlns:r="http://schemas.openxmlformats.org/officeDocument/2006/relationships" r:id="R418b0bcd014a4529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5" hidden="0" customWidth="1"/>
    <x:col min="3" max="3" width="14" hidden="0" customWidth="1"/>
    <x:col min="4" max="4" width="32" hidden="0" customWidth="1"/>
    <x:col min="5" max="5" width="24" hidden="0" customWidth="1"/>
    <x:col min="6" max="6" width="34" hidden="0" customWidth="1"/>
    <x:col min="7" max="7" width="48" hidden="0" customWidth="1"/>
    <x:col min="8" max="8" width="48" hidden="0" customWidth="1"/>
    <x:col min="9" max="9" width="20" hidden="0" customWidth="1"/>
    <x:col min="10" max="10" width="13" hidden="0" customWidth="1"/>
    <x:col min="11" max="11" width="24" hidden="0" customWidth="1"/>
    <x:col min="12" max="12" width="35" hidden="0" customWidth="1"/>
    <x:col min="13" max="13" width="18" hidden="0" customWidth="1"/>
    <x:col min="14" max="14" width="22" hidden="0" customWidth="1"/>
    <x:col min="15" max="15" width="20" hidden="0" customWidth="1"/>
    <x:col min="16" max="16" width="28" hidden="0" customWidth="1"/>
    <x:col min="17" max="17" width="24" hidden="0" customWidth="1"/>
  </x:cols>
  <x:sheetData>
    <x:row r="1">
      <x:c r="A1" s="51" t="str">
        <x:v>24-Hour Resident Routine — shift responsibilities generated only from a nurse-approved care plan</x:v>
      </x:c>
      <x:c r="B1" s="51"/>
      <x:c r="C1" s="51"/>
      <x:c r="D1" s="51"/>
      <x:c r="E1" s="51"/>
      <x:c r="F1" s="51"/>
      <x:c r="G1" s="51"/>
      <x:c r="H1" s="51"/>
      <x:c r="I1" s="51"/>
      <x:c r="J1" s="51"/>
      <x:c r="K1" s="51"/>
      <x:c r="L1" s="51"/>
      <x:c r="M1" s="51"/>
      <x:c r="N1" s="51"/>
      <x:c r="O1" s="51"/>
      <x:c r="P1" s="51"/>
      <x:c r="Q1" s="51"/>
    </x:row>
    <x:row r="2">
      <x:c r="A2" s="53" t="str">
        <x:v>Operational template: 12:00 AM–11:59 PM care day. Shift hours are configurable to the approved facility roster. Replace sample instructions with resident-specific approved directions.</x:v>
      </x:c>
      <x:c r="B2" s="53"/>
      <x:c r="C2" s="53"/>
      <x:c r="D2" s="53"/>
      <x:c r="E2" s="53"/>
      <x:c r="F2" s="53"/>
      <x:c r="G2" s="53"/>
      <x:c r="H2" s="53"/>
      <x:c r="I2" s="53"/>
      <x:c r="J2" s="53"/>
      <x:c r="K2" s="53"/>
      <x:c r="L2" s="53"/>
      <x:c r="M2" s="53"/>
      <x:c r="N2" s="53"/>
      <x:c r="O2" s="53"/>
      <x:c r="P2" s="53"/>
      <x:c r="Q2" s="53"/>
    </x:row>
    <x:row r="3">
      <x:c r="A3" s="47"/>
      <x:c r="B3" s="47"/>
      <x:c r="C3" s="47"/>
      <x:c r="D3" s="47"/>
      <x:c r="E3" s="47"/>
      <x:c r="F3" s="47"/>
      <x:c r="G3" s="47"/>
      <x:c r="H3" s="47"/>
      <x:c r="I3" s="47"/>
      <x:c r="J3" s="47"/>
      <x:c r="K3" s="47"/>
      <x:c r="L3" s="47"/>
      <x:c r="M3" s="47"/>
      <x:c r="N3" s="47"/>
      <x:c r="O3" s="47"/>
      <x:c r="P3" s="47"/>
      <x:c r="Q3" s="47"/>
    </x:row>
    <x:row r="4">
      <x:c r="A4" s="49" t="str">
        <x:v>Care Day</x:v>
      </x:c>
      <x:c r="B4" s="49" t="str">
        <x:v>Time Window</x:v>
      </x:c>
      <x:c r="C4" s="49" t="str">
        <x:v>Shift</x:v>
      </x:c>
      <x:c r="D4" s="49" t="str">
        <x:v>Routine / Care Event</x:v>
      </x:c>
      <x:c r="E4" s="49" t="str">
        <x:v>Linked AS Domain(s)</x:v>
      </x:c>
      <x:c r="F4" s="49" t="str">
        <x:v>Resident Goal / Preference</x:v>
      </x:c>
      <x:c r="G4" s="49" t="str">
        <x:v>Caregiver Responsibility</x:v>
      </x:c>
      <x:c r="H4" s="49" t="str">
        <x:v>Nurse Responsibility</x:v>
      </x:c>
      <x:c r="I4" s="49" t="str">
        <x:v>Frequency</x:v>
      </x:c>
      <x:c r="J4" s="49" t="str">
        <x:v>Criticality</x:v>
      </x:c>
      <x:c r="K4" s="49" t="str">
        <x:v>Completion Status</x:v>
      </x:c>
      <x:c r="L4" s="49" t="str">
        <x:v>Exception / Variance</x:v>
      </x:c>
      <x:c r="M4" s="49" t="str">
        <x:v>Escalation Required</x:v>
      </x:c>
      <x:c r="N4" s="49" t="str">
        <x:v>Follow-up Owner</x:v>
      </x:c>
      <x:c r="O4" s="49" t="str">
        <x:v>Due / Review Time</x:v>
      </x:c>
      <x:c r="P4" s="49" t="str">
        <x:v>Documentation</x:v>
      </x:c>
      <x:c r="Q4" s="49" t="str">
        <x:v>Approval Status</x:v>
      </x:c>
    </x:row>
    <x:row r="5" ht="54" customHeight="1">
      <x:c r="A5" s="47" t="str">
        <x:v>[yyyy-mm-dd]</x:v>
      </x:c>
      <x:c r="B5" s="47" t="str">
        <x:v>12:00–02:00</x:v>
      </x:c>
      <x:c r="C5" s="47" t="str">
        <x:v>Night</x:v>
      </x:c>
      <x:c r="D5" s="47" t="str">
        <x:v>Sleep and safety rounds</x:v>
      </x:c>
      <x:c r="E5" s="47" t="str">
        <x:v>AS-12; AS-13</x:v>
      </x:c>
      <x:c r="F5" s="47" t="str">
        <x:v>Promote restful sleep while maintaining safety.</x:v>
      </x:c>
      <x:c r="G5" s="47" t="str">
        <x:v>Complete approved safety check; assist only when awake/needed; record exceptions.</x:v>
      </x:c>
      <x:c r="H5" s="47" t="str">
        <x:v>Review repeated waking, unsafe behavior, pain or change from baseline.</x:v>
      </x:c>
      <x:c r="I5" s="47" t="str">
        <x:v>Per approved interval</x:v>
      </x:c>
      <x:c r="J5" s="47" t="str">
        <x:v>Routine</x:v>
      </x:c>
      <x:c r="K5" s="47" t="str">
        <x:v>Upcoming</x:v>
      </x:c>
      <x:c r="L5" s="47" t="str"/>
      <x:c r="M5" s="47" t="str">
        <x:v>No</x:v>
      </x:c>
      <x:c r="N5" s="47" t="str"/>
      <x:c r="O5" s="47" t="str"/>
      <x:c r="P5" s="47" t="str">
        <x:v>Expected or exception event</x:v>
      </x:c>
      <x:c r="Q5" s="71" t="str">
        <x:v>Inactive—sample</x:v>
      </x:c>
    </x:row>
    <x:row r="6" ht="54" customHeight="1">
      <x:c r="A6" s="47" t="str">
        <x:v>[yyyy-mm-dd]</x:v>
      </x:c>
      <x:c r="B6" s="47" t="str">
        <x:v>02:00–04:00</x:v>
      </x:c>
      <x:c r="C6" s="47" t="str">
        <x:v>Night</x:v>
      </x:c>
      <x:c r="D6" s="47" t="str">
        <x:v>Repositioning / comfort, if ordered</x:v>
      </x:c>
      <x:c r="E6" s="47" t="str">
        <x:v>AS-02; AS-11</x:v>
      </x:c>
      <x:c r="F6" s="47" t="str">
        <x:v>Maintain comfort and skin integrity.</x:v>
      </x:c>
      <x:c r="G6" s="47" t="str">
        <x:v>Reposition/off-load using approved technique and assistance level; inspect exposed risk areas.</x:v>
      </x:c>
      <x:c r="H6" s="47" t="str">
        <x:v>Review pain, redness, skin deterioration or inability to follow plan.</x:v>
      </x:c>
      <x:c r="I6" s="47" t="str">
        <x:v>As ordered/care plan</x:v>
      </x:c>
      <x:c r="J6" s="47" t="str">
        <x:v>High</x:v>
      </x:c>
      <x:c r="K6" s="47" t="str">
        <x:v>Upcoming</x:v>
      </x:c>
      <x:c r="L6" s="47" t="str"/>
      <x:c r="M6" s="47" t="str">
        <x:v>No</x:v>
      </x:c>
      <x:c r="N6" s="47" t="str"/>
      <x:c r="O6" s="47" t="str"/>
      <x:c r="P6" s="47" t="str">
        <x:v>Task completion + findings</x:v>
      </x:c>
      <x:c r="Q6" s="71" t="str">
        <x:v>Inactive—sample</x:v>
      </x:c>
    </x:row>
    <x:row r="7" ht="54" customHeight="1">
      <x:c r="A7" s="47" t="str">
        <x:v>[yyyy-mm-dd]</x:v>
      </x:c>
      <x:c r="B7" s="47" t="str">
        <x:v>04:00–06:00</x:v>
      </x:c>
      <x:c r="C7" s="47" t="str">
        <x:v>Night</x:v>
      </x:c>
      <x:c r="D7" s="47" t="str">
        <x:v>Toileting and early-morning support</x:v>
      </x:c>
      <x:c r="E7" s="47" t="str">
        <x:v>AS-10; AS-02</x:v>
      </x:c>
      <x:c r="F7" s="47" t="str">
        <x:v>Maintain continence, dignity and safe mobility.</x:v>
      </x:c>
      <x:c r="G7" s="47" t="str">
        <x:v>Offer/assist toileting according to schedule; use approved transfer method.</x:v>
      </x:c>
      <x:c r="H7" s="47" t="str">
        <x:v>Review new incontinence, urinary symptoms, constipation, falls or increased assistance.</x:v>
      </x:c>
      <x:c r="I7" s="47" t="str">
        <x:v>Per care plan / when awake</x:v>
      </x:c>
      <x:c r="J7" s="47" t="str">
        <x:v>Routine</x:v>
      </x:c>
      <x:c r="K7" s="47" t="str">
        <x:v>Upcoming</x:v>
      </x:c>
      <x:c r="L7" s="47" t="str"/>
      <x:c r="M7" s="47" t="str">
        <x:v>No</x:v>
      </x:c>
      <x:c r="N7" s="47" t="str"/>
      <x:c r="O7" s="47" t="str"/>
      <x:c r="P7" s="47" t="str">
        <x:v>Expected or exception event</x:v>
      </x:c>
      <x:c r="Q7" s="71" t="str">
        <x:v>Inactive—sample</x:v>
      </x:c>
    </x:row>
    <x:row r="8" ht="54" customHeight="1">
      <x:c r="A8" s="47" t="str">
        <x:v>[yyyy-mm-dd]</x:v>
      </x:c>
      <x:c r="B8" s="47" t="str">
        <x:v>06:00–08:00</x:v>
      </x:c>
      <x:c r="C8" s="47" t="str">
        <x:v>Morning</x:v>
      </x:c>
      <x:c r="D8" s="47" t="str">
        <x:v>Wake-up, orientation, hygiene and dressing</x:v>
      </x:c>
      <x:c r="E8" s="47" t="str">
        <x:v>AS-01; AS-04; AS-09</x:v>
      </x:c>
      <x:c r="F8" s="47" t="str">
        <x:v>Follow preferred morning routine and maximize participation.</x:v>
      </x:c>
      <x:c r="G8" s="47" t="str">
        <x:v>Provide approved setup/cueing/hands-on help; use effective communication approach; observe skin, pain and function.</x:v>
      </x:c>
      <x:c r="H8" s="47" t="str">
        <x:v>Review functional/cognitive change, distress, skin concern or increased assistance.</x:v>
      </x:c>
      <x:c r="I8" s="47" t="str">
        <x:v>Daily</x:v>
      </x:c>
      <x:c r="J8" s="47" t="str">
        <x:v>Routine</x:v>
      </x:c>
      <x:c r="K8" s="47" t="str">
        <x:v>Upcoming</x:v>
      </x:c>
      <x:c r="L8" s="47" t="str"/>
      <x:c r="M8" s="47" t="str">
        <x:v>No</x:v>
      </x:c>
      <x:c r="N8" s="47" t="str"/>
      <x:c r="O8" s="47" t="str"/>
      <x:c r="P8" s="47" t="str">
        <x:v>Task completion + variance</x:v>
      </x:c>
      <x:c r="Q8" s="71" t="str">
        <x:v>Inactive—sample</x:v>
      </x:c>
    </x:row>
    <x:row r="9" ht="54" customHeight="1">
      <x:c r="A9" s="47" t="str">
        <x:v>[yyyy-mm-dd]</x:v>
      </x:c>
      <x:c r="B9" s="47" t="str">
        <x:v>08:00–09:00</x:v>
      </x:c>
      <x:c r="C9" s="47" t="str">
        <x:v>Morning</x:v>
      </x:c>
      <x:c r="D9" s="47" t="str">
        <x:v>Breakfast, hydration and morning medication</x:v>
      </x:c>
      <x:c r="E9" s="47" t="str">
        <x:v>AS-07; AS-08</x:v>
      </x:c>
      <x:c r="F9" s="47" t="str">
        <x:v>Support safe intake and medication adherence.</x:v>
      </x:c>
      <x:c r="G9" s="47" t="str">
        <x:v>Provide approved meal assistance; observe intake/swallowing; medication support only within authorized scope/MAR.</x:v>
      </x:c>
      <x:c r="H9" s="47" t="str">
        <x:v>Verify orders/parameters; review poor intake, swallowing concern, omission, refusal or adverse effect.</x:v>
      </x:c>
      <x:c r="I9" s="47" t="str">
        <x:v>Daily / prescribed time</x:v>
      </x:c>
      <x:c r="J9" s="47" t="str">
        <x:v>Critical</x:v>
      </x:c>
      <x:c r="K9" s="47" t="str">
        <x:v>Upcoming</x:v>
      </x:c>
      <x:c r="L9" s="47" t="str"/>
      <x:c r="M9" s="47" t="str">
        <x:v>No</x:v>
      </x:c>
      <x:c r="N9" s="47" t="str"/>
      <x:c r="O9" s="47" t="str"/>
      <x:c r="P9" s="47" t="str">
        <x:v>MAR + intake/exception</x:v>
      </x:c>
      <x:c r="Q9" s="71" t="str">
        <x:v>Inactive—sample</x:v>
      </x:c>
    </x:row>
    <x:row r="10" ht="54" customHeight="1">
      <x:c r="A10" s="47" t="str">
        <x:v>[yyyy-mm-dd]</x:v>
      </x:c>
      <x:c r="B10" s="47" t="str">
        <x:v>09:00–10:00</x:v>
      </x:c>
      <x:c r="C10" s="47" t="str">
        <x:v>Morning</x:v>
      </x:c>
      <x:c r="D10" s="47" t="str">
        <x:v>Clinical monitoring, if ordered</x:v>
      </x:c>
      <x:c r="E10" s="47" t="str">
        <x:v>AS-06</x:v>
      </x:c>
      <x:c r="F10" s="47" t="str">
        <x:v>Maintain condition within resident-specific parameters.</x:v>
      </x:c>
      <x:c r="G10" s="47" t="str">
        <x:v>Obtain ordered readings using approved technique and report exceptions.</x:v>
      </x:c>
      <x:c r="H10" s="47" t="str">
        <x:v>Interpret results/trends and act according to resident-specific parameters and orders.</x:v>
      </x:c>
      <x:c r="I10" s="47" t="str">
        <x:v>As ordered</x:v>
      </x:c>
      <x:c r="J10" s="47" t="str">
        <x:v>Critical</x:v>
      </x:c>
      <x:c r="K10" s="47" t="str">
        <x:v>Upcoming</x:v>
      </x:c>
      <x:c r="L10" s="47" t="str"/>
      <x:c r="M10" s="47" t="str">
        <x:v>No</x:v>
      </x:c>
      <x:c r="N10" s="47" t="str"/>
      <x:c r="O10" s="47" t="str"/>
      <x:c r="P10" s="47" t="str">
        <x:v>Reading + response</x:v>
      </x:c>
      <x:c r="Q10" s="71" t="str">
        <x:v>Inactive—sample</x:v>
      </x:c>
    </x:row>
    <x:row r="11" ht="54" customHeight="1">
      <x:c r="A11" s="47" t="str">
        <x:v>[yyyy-mm-dd]</x:v>
      </x:c>
      <x:c r="B11" s="47" t="str">
        <x:v>10:00–11:30</x:v>
      </x:c>
      <x:c r="C11" s="47" t="str">
        <x:v>Morning</x:v>
      </x:c>
      <x:c r="D11" s="47" t="str">
        <x:v>Mobility / therapy carryover / meaningful activity</x:v>
      </x:c>
      <x:c r="E11" s="47" t="str">
        <x:v>AS-02; AS-03; AS-14</x:v>
      </x:c>
      <x:c r="F11" s="47" t="str">
        <x:v>Maintain safe function and meaningful participation.</x:v>
      </x:c>
      <x:c r="G11" s="47" t="str">
        <x:v>Provide approved mobility assistance and therapy carryover; follow fall precautions and rest needs.</x:v>
      </x:c>
      <x:c r="H11" s="47" t="str">
        <x:v>Review tolerance, pain, dizziness, fall/near-fall or functional decline; coordinate therapy.</x:v>
      </x:c>
      <x:c r="I11" s="47" t="str">
        <x:v>Daily / therapy plan</x:v>
      </x:c>
      <x:c r="J11" s="47" t="str">
        <x:v>Routine</x:v>
      </x:c>
      <x:c r="K11" s="47" t="str">
        <x:v>Upcoming</x:v>
      </x:c>
      <x:c r="L11" s="47" t="str"/>
      <x:c r="M11" s="47" t="str">
        <x:v>No</x:v>
      </x:c>
      <x:c r="N11" s="47" t="str"/>
      <x:c r="O11" s="47" t="str"/>
      <x:c r="P11" s="47" t="str">
        <x:v>Task + tolerance</x:v>
      </x:c>
      <x:c r="Q11" s="71" t="str">
        <x:v>Inactive—sample</x:v>
      </x:c>
    </x:row>
    <x:row r="12" ht="54" customHeight="1">
      <x:c r="A12" s="47" t="str">
        <x:v>[yyyy-mm-dd]</x:v>
      </x:c>
      <x:c r="B12" s="47" t="str">
        <x:v>11:30–13:00</x:v>
      </x:c>
      <x:c r="C12" s="47" t="str">
        <x:v>Morning</x:v>
      </x:c>
      <x:c r="D12" s="47" t="str">
        <x:v>Toileting, lunch and hydration</x:v>
      </x:c>
      <x:c r="E12" s="47" t="str">
        <x:v>AS-10; AS-08</x:v>
      </x:c>
      <x:c r="F12" s="47" t="str">
        <x:v>Maintain comfort, continence and adequate intake.</x:v>
      </x:c>
      <x:c r="G12" s="47" t="str">
        <x:v>Assist toileting and meal using approved level, positioning, pacing and texture.</x:v>
      </x:c>
      <x:c r="H12" s="47" t="str">
        <x:v>Review poor intake, dehydration, swallowing signs or elimination change.</x:v>
      </x:c>
      <x:c r="I12" s="47" t="str">
        <x:v>Daily</x:v>
      </x:c>
      <x:c r="J12" s="47" t="str">
        <x:v>Routine</x:v>
      </x:c>
      <x:c r="K12" s="47" t="str">
        <x:v>Upcoming</x:v>
      </x:c>
      <x:c r="L12" s="47" t="str"/>
      <x:c r="M12" s="47" t="str">
        <x:v>No</x:v>
      </x:c>
      <x:c r="N12" s="47" t="str"/>
      <x:c r="O12" s="47" t="str"/>
      <x:c r="P12" s="47" t="str">
        <x:v>Task + intake/variance</x:v>
      </x:c>
      <x:c r="Q12" s="71" t="str">
        <x:v>Inactive—sample</x:v>
      </x:c>
    </x:row>
    <x:row r="13" ht="54" customHeight="1">
      <x:c r="A13" s="47" t="str">
        <x:v>[yyyy-mm-dd]</x:v>
      </x:c>
      <x:c r="B13" s="47" t="str">
        <x:v>13:00–14:00</x:v>
      </x:c>
      <x:c r="C13" s="47" t="str">
        <x:v>Morning</x:v>
      </x:c>
      <x:c r="D13" s="47" t="str">
        <x:v>Rest and handover preparation</x:v>
      </x:c>
      <x:c r="E13" s="47" t="str">
        <x:v>AS-12; AS-13</x:v>
      </x:c>
      <x:c r="F13" s="47" t="str">
        <x:v>Balance rest, comfort and safety.</x:v>
      </x:c>
      <x:c r="G13" s="47" t="str">
        <x:v>Support preferred rest; resolve/document incomplete tasks and exceptions.</x:v>
      </x:c>
      <x:c r="H13" s="47" t="str">
        <x:v>Review escalations and prepare pending/owner/due handover.</x:v>
      </x:c>
      <x:c r="I13" s="47" t="str">
        <x:v>Daily / end of shift</x:v>
      </x:c>
      <x:c r="J13" s="47" t="str">
        <x:v>High</x:v>
      </x:c>
      <x:c r="K13" s="47" t="str">
        <x:v>Upcoming</x:v>
      </x:c>
      <x:c r="L13" s="47" t="str"/>
      <x:c r="M13" s="47" t="str">
        <x:v>No</x:v>
      </x:c>
      <x:c r="N13" s="47" t="str"/>
      <x:c r="O13" s="47" t="str"/>
      <x:c r="P13" s="47" t="str">
        <x:v>Shift summary</x:v>
      </x:c>
      <x:c r="Q13" s="71" t="str">
        <x:v>Inactive—sample</x:v>
      </x:c>
    </x:row>
    <x:row r="14" ht="54" customHeight="1">
      <x:c r="A14" s="47" t="str">
        <x:v>[yyyy-mm-dd]</x:v>
      </x:c>
      <x:c r="B14" s="47" t="str">
        <x:v>14:00–15:00</x:v>
      </x:c>
      <x:c r="C14" s="47" t="str">
        <x:v>Afternoon</x:v>
      </x:c>
      <x:c r="D14" s="47" t="str">
        <x:v>Shift acceptance and resident check</x:v>
      </x:c>
      <x:c r="E14" s="47" t="str">
        <x:v>All active domains</x:v>
      </x:c>
      <x:c r="F14" s="47" t="str">
        <x:v>Ensure continuity across shifts.</x:v>
      </x:c>
      <x:c r="G14" s="47" t="str">
        <x:v>Incoming caregiver accepts assigned residents and reviews pending/critical tasks.</x:v>
      </x:c>
      <x:c r="H14" s="47" t="str">
        <x:v>Incoming nurse accepts escalations, priorities and time-critical follow-up.</x:v>
      </x:c>
      <x:c r="I14" s="47" t="str">
        <x:v>Each shift change</x:v>
      </x:c>
      <x:c r="J14" s="47" t="str">
        <x:v>Critical</x:v>
      </x:c>
      <x:c r="K14" s="47" t="str">
        <x:v>Upcoming</x:v>
      </x:c>
      <x:c r="L14" s="47" t="str"/>
      <x:c r="M14" s="47" t="str">
        <x:v>No</x:v>
      </x:c>
      <x:c r="N14" s="47" t="str"/>
      <x:c r="O14" s="47" t="str"/>
      <x:c r="P14" s="47" t="str">
        <x:v>Handover acceptance</x:v>
      </x:c>
      <x:c r="Q14" s="71" t="str">
        <x:v>Inactive—sample</x:v>
      </x:c>
    </x:row>
    <x:row r="15" ht="54" customHeight="1">
      <x:c r="A15" s="47" t="str">
        <x:v>[yyyy-mm-dd]</x:v>
      </x:c>
      <x:c r="B15" s="47" t="str">
        <x:v>15:00–17:00</x:v>
      </x:c>
      <x:c r="C15" s="47" t="str">
        <x:v>Afternoon</x:v>
      </x:c>
      <x:c r="D15" s="47" t="str">
        <x:v>Activity, mobility, hydration and toileting</x:v>
      </x:c>
      <x:c r="E15" s="47" t="str">
        <x:v>AS-02; AS-03; AS-05; AS-10; AS-14</x:v>
      </x:c>
      <x:c r="F15" s="47" t="str">
        <x:v>Maintain function, comfort and psychosocial well-being.</x:v>
      </x:c>
      <x:c r="G15" s="47" t="str">
        <x:v>Offer individualized activity; assist mobility/toileting; use approved calming and communication approaches.</x:v>
      </x:c>
      <x:c r="H15" s="47" t="str">
        <x:v>Review behavior pattern, falls risk, functional tolerance and clinical causes of change.</x:v>
      </x:c>
      <x:c r="I15" s="47" t="str">
        <x:v>Daily</x:v>
      </x:c>
      <x:c r="J15" s="47" t="str">
        <x:v>Routine</x:v>
      </x:c>
      <x:c r="K15" s="47" t="str">
        <x:v>Upcoming</x:v>
      </x:c>
      <x:c r="L15" s="47" t="str"/>
      <x:c r="M15" s="47" t="str">
        <x:v>No</x:v>
      </x:c>
      <x:c r="N15" s="47" t="str"/>
      <x:c r="O15" s="47" t="str"/>
      <x:c r="P15" s="47" t="str">
        <x:v>Task + response</x:v>
      </x:c>
      <x:c r="Q15" s="71" t="str">
        <x:v>Inactive—sample</x:v>
      </x:c>
    </x:row>
    <x:row r="16" ht="54" customHeight="1">
      <x:c r="A16" s="47" t="str">
        <x:v>[yyyy-mm-dd]</x:v>
      </x:c>
      <x:c r="B16" s="47" t="str">
        <x:v>17:00–19:00</x:v>
      </x:c>
      <x:c r="C16" s="47" t="str">
        <x:v>Afternoon</x:v>
      </x:c>
      <x:c r="D16" s="47" t="str">
        <x:v>Dinner, hydration and evening medication</x:v>
      </x:c>
      <x:c r="E16" s="47" t="str">
        <x:v>AS-07; AS-08</x:v>
      </x:c>
      <x:c r="F16" s="47" t="str">
        <x:v>Support safe intake and medication adherence.</x:v>
      </x:c>
      <x:c r="G16" s="47" t="str">
        <x:v>Provide approved meal assistance and medication support within scope/MAR.</x:v>
      </x:c>
      <x:c r="H16" s="47" t="str">
        <x:v>Review omissions, refusal, poor intake, swallowing signs or adverse effects.</x:v>
      </x:c>
      <x:c r="I16" s="47" t="str">
        <x:v>Daily / prescribed time</x:v>
      </x:c>
      <x:c r="J16" s="47" t="str">
        <x:v>Critical</x:v>
      </x:c>
      <x:c r="K16" s="47" t="str">
        <x:v>Upcoming</x:v>
      </x:c>
      <x:c r="L16" s="47" t="str"/>
      <x:c r="M16" s="47" t="str">
        <x:v>No</x:v>
      </x:c>
      <x:c r="N16" s="47" t="str"/>
      <x:c r="O16" s="47" t="str"/>
      <x:c r="P16" s="47" t="str">
        <x:v>MAR + intake/exception</x:v>
      </x:c>
      <x:c r="Q16" s="71" t="str">
        <x:v>Inactive—sample</x:v>
      </x:c>
    </x:row>
    <x:row r="17" ht="54" customHeight="1">
      <x:c r="A17" s="47" t="str">
        <x:v>[yyyy-mm-dd]</x:v>
      </x:c>
      <x:c r="B17" s="47" t="str">
        <x:v>19:00–20:30</x:v>
      </x:c>
      <x:c r="C17" s="47" t="str">
        <x:v>Afternoon</x:v>
      </x:c>
      <x:c r="D17" s="47" t="str">
        <x:v>Calm evening routine</x:v>
      </x:c>
      <x:c r="E17" s="47" t="str">
        <x:v>AS-04; AS-05; AS-12</x:v>
      </x:c>
      <x:c r="F17" s="47" t="str">
        <x:v>Reduce distress and support preferred evening routine.</x:v>
      </x:c>
      <x:c r="G17" s="47" t="str">
        <x:v>Use familiar low-stimulation activity, reassurance and effective cueing; address comfort/toileting.</x:v>
      </x:c>
      <x:c r="H17" s="47" t="str">
        <x:v>Review new or severe agitation, altered cognition, pain or possible illness/delirium.</x:v>
      </x:c>
      <x:c r="I17" s="47" t="str">
        <x:v>Daily</x:v>
      </x:c>
      <x:c r="J17" s="47" t="str">
        <x:v>Routine</x:v>
      </x:c>
      <x:c r="K17" s="47" t="str">
        <x:v>Upcoming</x:v>
      </x:c>
      <x:c r="L17" s="47" t="str"/>
      <x:c r="M17" s="47" t="str">
        <x:v>No</x:v>
      </x:c>
      <x:c r="N17" s="47" t="str"/>
      <x:c r="O17" s="47" t="str"/>
      <x:c r="P17" s="47" t="str">
        <x:v>Response/variance</x:v>
      </x:c>
      <x:c r="Q17" s="71" t="str">
        <x:v>Inactive—sample</x:v>
      </x:c>
    </x:row>
    <x:row r="18" ht="54" customHeight="1">
      <x:c r="A18" s="47" t="str">
        <x:v>[yyyy-mm-dd]</x:v>
      </x:c>
      <x:c r="B18" s="47" t="str">
        <x:v>20:30–22:00</x:v>
      </x:c>
      <x:c r="C18" s="47" t="str">
        <x:v>Afternoon</x:v>
      </x:c>
      <x:c r="D18" s="47" t="str">
        <x:v>Bedtime care and safety setup</x:v>
      </x:c>
      <x:c r="E18" s="47" t="str">
        <x:v>AS-01; AS-10; AS-11; AS-13</x:v>
      </x:c>
      <x:c r="F18" s="47" t="str">
        <x:v>Maintain dignity, comfort, skin integrity and safe sleep.</x:v>
      </x:c>
      <x:c r="G18" s="47" t="str">
        <x:v>Provide hygiene/toileting, skin observation and approved positioning; set least-restrictive safeguards.</x:v>
      </x:c>
      <x:c r="H18" s="47" t="str">
        <x:v>Review skin findings, increased assistance, night risks and unresolved exceptions.</x:v>
      </x:c>
      <x:c r="I18" s="47" t="str">
        <x:v>Daily</x:v>
      </x:c>
      <x:c r="J18" s="47" t="str">
        <x:v>High</x:v>
      </x:c>
      <x:c r="K18" s="47" t="str">
        <x:v>Upcoming</x:v>
      </x:c>
      <x:c r="L18" s="47" t="str"/>
      <x:c r="M18" s="47" t="str">
        <x:v>No</x:v>
      </x:c>
      <x:c r="N18" s="47" t="str"/>
      <x:c r="O18" s="47" t="str"/>
      <x:c r="P18" s="47" t="str">
        <x:v>Task + findings</x:v>
      </x:c>
      <x:c r="Q18" s="71" t="str">
        <x:v>Inactive—sample</x:v>
      </x:c>
    </x:row>
    <x:row r="19" ht="54" customHeight="1">
      <x:c r="A19" s="47" t="str">
        <x:v>[yyyy-mm-dd]</x:v>
      </x:c>
      <x:c r="B19" s="47" t="str">
        <x:v>22:00–23:00</x:v>
      </x:c>
      <x:c r="C19" s="47" t="str">
        <x:v>Night</x:v>
      </x:c>
      <x:c r="D19" s="47" t="str">
        <x:v>Shift acceptance and night assessment</x:v>
      </x:c>
      <x:c r="E19" s="47" t="str">
        <x:v>All active domains</x:v>
      </x:c>
      <x:c r="F19" s="47" t="str">
        <x:v>Maintain continuity and safe overnight care.</x:v>
      </x:c>
      <x:c r="G19" s="47" t="str">
        <x:v>Accept handover; check resident comfort and complete due tasks.</x:v>
      </x:c>
      <x:c r="H19" s="47" t="str">
        <x:v>Prioritize new-since-shift events and pending escalations; confirm night plan.</x:v>
      </x:c>
      <x:c r="I19" s="47" t="str">
        <x:v>Each shift change</x:v>
      </x:c>
      <x:c r="J19" s="47" t="str">
        <x:v>Critical</x:v>
      </x:c>
      <x:c r="K19" s="47" t="str">
        <x:v>Upcoming</x:v>
      </x:c>
      <x:c r="L19" s="47" t="str"/>
      <x:c r="M19" s="47" t="str">
        <x:v>No</x:v>
      </x:c>
      <x:c r="N19" s="47" t="str"/>
      <x:c r="O19" s="47" t="str"/>
      <x:c r="P19" s="47" t="str">
        <x:v>Handover acceptance</x:v>
      </x:c>
      <x:c r="Q19" s="71" t="str">
        <x:v>Inactive—sample</x:v>
      </x:c>
    </x:row>
    <x:row r="20" ht="54" customHeight="1">
      <x:c r="A20" s="47" t="str">
        <x:v>[yyyy-mm-dd]</x:v>
      </x:c>
      <x:c r="B20" s="47" t="str">
        <x:v>23:00–23:59</x:v>
      </x:c>
      <x:c r="C20" s="47" t="str">
        <x:v>Night</x:v>
      </x:c>
      <x:c r="D20" s="47" t="str">
        <x:v>Overnight medication/treatment, if ordered</x:v>
      </x:c>
      <x:c r="E20" s="47" t="str">
        <x:v>AS-06; AS-07; AS-11</x:v>
      </x:c>
      <x:c r="F20" s="47" t="str">
        <x:v>Complete prescribed time-critical care safely.</x:v>
      </x:c>
      <x:c r="G20" s="47" t="str">
        <x:v>Perform only authorized ordered task; document result and exception.</x:v>
      </x:c>
      <x:c r="H20" s="47" t="str">
        <x:v>Review result, omission/hold, adverse response and escalation.</x:v>
      </x:c>
      <x:c r="I20" s="47" t="str">
        <x:v>As ordered</x:v>
      </x:c>
      <x:c r="J20" s="47" t="str">
        <x:v>Critical</x:v>
      </x:c>
      <x:c r="K20" s="47" t="str">
        <x:v>Upcoming</x:v>
      </x:c>
      <x:c r="L20" s="47" t="str"/>
      <x:c r="M20" s="47" t="str">
        <x:v>No</x:v>
      </x:c>
      <x:c r="N20" s="47" t="str"/>
      <x:c r="O20" s="47" t="str"/>
      <x:c r="P20" s="47" t="str">
        <x:v>MAR/treatment record</x:v>
      </x:c>
      <x:c r="Q20" s="71" t="str">
        <x:v>Inactive—sample</x:v>
      </x:c>
    </x:row>
  </x:sheetData>
  <x:mergeCells>
    <x:mergeCell ref="A1:Q1"/>
    <x:mergeCell ref="A2:Q2"/>
  </x:mergeCells>
  <x:conditionalFormatting sqref="A5:Q20">
    <x:cfRule type="containsText" dxfId="20" priority="1" operator="containsText" text="Critical"/>
  </x:conditionalFormatting>
  <x:conditionalFormatting sqref="K5:K20">
    <x:cfRule type="containsText" dxfId="21" priority="2" operator="containsText" text="Missed"/>
    <x:cfRule type="containsText" dxfId="22" priority="3" operator="containsText" text="Completed"/>
  </x:conditionalFormatting>
  <x:dataValidations count="3">
    <x:dataValidation type="list" sqref="K5:K20">
      <x:formula1>"Upcoming,Due,Completed,Completed with variance,Resident declined,Unable / unavailable,Unsafe to perform,Clinical hold,Overdue,Missed,Escalated,Authorized cancellation"</x:formula1>
    </x:dataValidation>
    <x:dataValidation type="list" sqref="M5:M20">
      <x:formula1>"No,Yes—P1,Yes—P2,Yes—P3,Yes—P4"</x:formula1>
    </x:dataValidation>
    <x:dataValidation type="list" sqref="Q5:Q20">
      <x:formula1>"Inactive—sample,Draft,Pending nursing approval,Approved and active,Under review,Discontinued"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c6a75f05bfd4351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10" hidden="0" customWidth="1"/>
  </x:cols>
  <x:sheetData>
    <x:row r="1">
      <x:c r="A1" s="49" t="str">
        <x:v>CONTROL</x:v>
      </x:c>
      <x:c r="B1" s="49" t="str">
        <x:v>APPROVED RULE / SLMS REQUIREMENT</x:v>
      </x:c>
    </x:row>
    <x:row r="2">
      <x:c r="A2" s="47" t="str">
        <x:v>Source of truth</x:v>
      </x:c>
      <x:c r="B2" s="47" t="str">
        <x:v>LifeCare Resident Assessment v4.2: 14 AS domains, 0–4 each, raw /56 advisory; MLR-floor and nurse-confirmed Final LOC.</x:v>
      </x:c>
    </x:row>
    <x:row r="3">
      <x:c r="A3" s="47" t="str">
        <x:v>Activation</x:v>
      </x:c>
      <x:c r="B3" s="47" t="str">
        <x:v>Only active assessed needs requiring staff action generate recommendations. No routine activates before nursing individualization, approval, effective date and review date.</x:v>
      </x:c>
    </x:row>
    <x:row r="4">
      <x:c r="A4" s="47" t="str">
        <x:v>Care day</x:v>
      </x:c>
      <x:c r="B4" s="47" t="str">
        <x:v>One continuous resident routine from 12:00 AM to 11:59 PM local facility time.</x:v>
      </x:c>
    </x:row>
    <x:row r="5">
      <x:c r="A5" s="47" t="str">
        <x:v>Shift reference</x:v>
      </x:c>
      <x:c r="B5" s="47" t="str">
        <x:v>Night 10:00 PM–6:00 AM; Morning 6:00 AM–2:00 PM; Afternoon 2:00 PM–10:00 PM. Configure only to the formally approved roster.</x:v>
      </x:c>
    </x:row>
    <x:row r="6">
      <x:c r="A6" s="47" t="str">
        <x:v>Shift ownership</x:v>
      </x:c>
      <x:c r="B6" s="47" t="str">
        <x:v>Tasks remain linked to one resident journey; shifts divide responsibility but do not create separate care plans.</x:v>
      </x:c>
    </x:row>
    <x:row r="7">
      <x:c r="A7" s="47" t="str">
        <x:v>Expected event</x:v>
      </x:c>
      <x:c r="B7" s="47" t="str">
        <x:v>Record the structured completion result once. Do not duplicate a narrative note unless a variance/clinical concern requires it.</x:v>
      </x:c>
    </x:row>
    <x:row r="8">
      <x:c r="A8" s="47" t="str">
        <x:v>Exceptions</x:v>
      </x:c>
      <x:c r="B8" s="47" t="str">
        <x:v>Refused; Unable; Unsafe; Increased Assistance; Frequency Variance; Clinical Change. Exceptions are not completion.</x:v>
      </x:c>
    </x:row>
    <x:row r="9">
      <x:c r="A9" s="47" t="str">
        <x:v>Handover</x:v>
      </x:c>
      <x:c r="B9" s="47" t="str">
        <x:v>Outgoing shift resolves, escalates or transfers follow-up with pending item, owner and due time. Incoming shift accepts accountability. Original delay/miss remains auditable.</x:v>
      </x:c>
    </x:row>
    <x:row r="10">
      <x:c r="A10" s="47" t="str">
        <x:v>No silent rollover</x:v>
      </x:c>
      <x:c r="B10" s="47" t="str">
        <x:v>Incomplete tasks remain in the original care day/shift audit record. The next recurring task may generate separately.</x:v>
      </x:c>
    </x:row>
    <x:row r="11">
      <x:c r="A11" s="47" t="str">
        <x:v>Escalation</x:v>
      </x:c>
      <x:c r="B11" s="47" t="str">
        <x:v>Caregiver event → nurse triage/review → action/monitoring → reassessment when indicated → approved plan/routine revision.</x:v>
      </x:c>
    </x:row>
    <x:row r="12">
      <x:c r="A12" s="47" t="str">
        <x:v>P1</x:v>
      </x:c>
      <x:c r="B12" s="47" t="str">
        <x:v>Immediate/emergency response according to policy; notify nurse/appropriate emergency pathway now.</x:v>
      </x:c>
    </x:row>
    <x:row r="13">
      <x:c r="A13" s="47" t="str">
        <x:v>P2</x:v>
      </x:c>
      <x:c r="B13" s="47" t="str">
        <x:v>Urgent nurse review within the shift or sooner according to clinical risk.</x:v>
      </x:c>
    </x:row>
    <x:row r="14">
      <x:c r="A14" s="47" t="str">
        <x:v>P3</x:v>
      </x:c>
      <x:c r="B14" s="47" t="str">
        <x:v>Prompt routine nurse follow-up and trend review.</x:v>
      </x:c>
    </x:row>
    <x:row r="15">
      <x:c r="A15" s="47" t="str">
        <x:v>P4</x:v>
      </x:c>
      <x:c r="B15" s="47" t="str">
        <x:v>Monitor/document; include in scheduled review if no deterioration.</x:v>
      </x:c>
    </x:row>
    <x:row r="16">
      <x:c r="A16" s="47" t="str">
        <x:v>Memory care</x:v>
      </x:c>
      <x:c r="B16" s="47" t="str">
        <x:v>Dementia or memory-care needs do not automatically assign LOC 4; apply total needs, MLRs, modifiers, clinical judgment and capability review.</x:v>
      </x:c>
    </x:row>
    <x:row r="17">
      <x:c r="A17" s="47" t="str">
        <x:v>Clinical safeguard</x:v>
      </x:c>
      <x:c r="B17" s="47" t="str">
        <x:v>Medication, glucose/BP monitoring, wound care, diet/texture/fluid restrictions and therapy techniques require current orders, policy and authorized scope.</x:v>
      </x:c>
    </x:row>
  </x:sheetData>
  <x:pageMargins left="0.7" right="0.7" top="0.75" bottom="0.75" header="0.3" footer="0.3"/>
  <x:tableParts count="1">
    <x:tablePart xmlns:r="http://schemas.openxmlformats.org/officeDocument/2006/relationships" r:id="Rf522f4ec51fa4c2b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2" hidden="0" customWidth="1"/>
    <x:col min="3" max="3" width="20" hidden="0" customWidth="1"/>
    <x:col min="4" max="4" width="18" hidden="0" customWidth="1"/>
    <x:col min="5" max="5" width="27" hidden="0" customWidth="1"/>
    <x:col min="6" max="6" width="34" hidden="0" customWidth="1"/>
    <x:col min="7" max="7" width="30" hidden="0" customWidth="1"/>
    <x:col min="8" max="8" width="22" hidden="0" customWidth="1"/>
    <x:col min="9" max="9" width="22" hidden="0" customWidth="1"/>
    <x:col min="10" max="10" width="32" hidden="0" customWidth="1"/>
  </x:cols>
  <x:sheetData>
    <x:row r="1" ht="28" customHeight="1">
      <x:c r="A1" s="74" t="str">
        <x:v>High-Frequency Care Tasks — one approved intervention, multiple auditable occurrences</x:v>
      </x:c>
      <x:c r="B1" s="74"/>
      <x:c r="C1" s="74"/>
      <x:c r="D1" s="74"/>
      <x:c r="E1" s="74"/>
      <x:c r="F1" s="74"/>
      <x:c r="G1" s="74"/>
      <x:c r="H1" s="74"/>
      <x:c r="I1" s="74"/>
      <x:c r="J1" s="74"/>
    </x:row>
    <x:row r="2" ht="34" customHeight="1">
      <x:c r="A2" s="76" t="str">
        <x:v>Use only after nursing individualization and approval. Each generated occurrence retains its scheduled time, actual time, caregiver, result, exception and escalation.</x:v>
      </x:c>
      <x:c r="B2" s="76"/>
      <x:c r="C2" s="76"/>
      <x:c r="D2" s="76"/>
      <x:c r="E2" s="76"/>
      <x:c r="F2" s="76"/>
      <x:c r="G2" s="76"/>
      <x:c r="H2" s="76"/>
      <x:c r="I2" s="76"/>
      <x:c r="J2" s="76"/>
    </x:row>
    <x:row r="3">
      <x:c r="A3" s="47"/>
      <x:c r="B3" s="47"/>
      <x:c r="C3" s="47"/>
      <x:c r="D3" s="47"/>
      <x:c r="E3" s="47"/>
      <x:c r="F3" s="47"/>
      <x:c r="G3" s="47"/>
      <x:c r="H3" s="47"/>
      <x:c r="I3" s="47"/>
      <x:c r="J3" s="47"/>
    </x:row>
    <x:row r="4">
      <x:c r="A4" s="47" t="str">
        <x:v>Frequency Method</x:v>
      </x:c>
      <x:c r="B4" s="47" t="str">
        <x:v>Example</x:v>
      </x:c>
      <x:c r="C4" s="47" t="str">
        <x:v>SLMS Generation Rule</x:v>
      </x:c>
      <x:c r="D4" s="47" t="str">
        <x:v>Caregiver Recording</x:v>
      </x:c>
      <x:c r="E4" s="47" t="str">
        <x:v>Nursing / Escalation Control</x:v>
      </x:c>
      <x:c r="F4" s="47"/>
      <x:c r="G4" s="47" t="str">
        <x:v>Required Configuration Field</x:v>
      </x:c>
      <x:c r="H4" s="47" t="str">
        <x:v>Purpose / Rule</x:v>
      </x:c>
      <x:c r="I4" s="47"/>
      <x:c r="J4" s="47"/>
    </x:row>
    <x:row r="5" ht="44" customHeight="1">
      <x:c r="A5" s="47" t="str">
        <x:v>Exact scheduled times</x:v>
      </x:c>
      <x:c r="B5" s="47" t="str">
        <x:v>Medication at 8:00 AM and 8:00 PM</x:v>
      </x:c>
      <x:c r="C5" s="47" t="str">
        <x:v>Generate separate events at each prescribed time.</x:v>
      </x:c>
      <x:c r="D5" s="47" t="str">
        <x:v>Record administration/result for each occurrence.</x:v>
      </x:c>
      <x:c r="E5" s="47" t="str">
        <x:v>Follow MAR/orders; omission, refusal, hold or adverse effect requires review.</x:v>
      </x:c>
      <x:c r="F5" s="47"/>
      <x:c r="G5" s="47" t="str">
        <x:v>Task / intervention</x:v>
      </x:c>
      <x:c r="H5" s="47" t="str">
        <x:v>One approved care-plan intervention; do not duplicate the care-plan line for each occurrence.</x:v>
      </x:c>
      <x:c r="I5" s="47"/>
      <x:c r="J5" s="47"/>
    </x:row>
    <x:row r="6" ht="44" customHeight="1">
      <x:c r="A6" s="47" t="str">
        <x:v>Recurring fixed interval</x:v>
      </x:c>
      <x:c r="B6" s="47" t="str">
        <x:v>Reposition every 2 hours</x:v>
      </x:c>
      <x:c r="C6" s="47" t="str">
        <x:v>Generate at fixed clock times; late completion does not move the next scheduled time.</x:v>
      </x:c>
      <x:c r="D6" s="47" t="str">
        <x:v>Record position, skin observation, tolerance and variance.</x:v>
      </x:c>
      <x:c r="E6" s="47" t="str">
        <x:v>Review repeated delays, skin findings, pain or inability to perform safely.</x:v>
      </x:c>
      <x:c r="F6" s="47"/>
      <x:c r="G6" s="47" t="str">
        <x:v>Frequency method</x:v>
      </x:c>
      <x:c r="H6" s="47" t="str">
        <x:v>Exact time, fixed interval, completion-based interval, times per shift, time window, while awake, trigger-based or temporary.</x:v>
      </x:c>
      <x:c r="I6" s="47"/>
      <x:c r="J6" s="47"/>
    </x:row>
    <x:row r="7" ht="44" customHeight="1">
      <x:c r="A7" s="47" t="str">
        <x:v>Completion-based interval</x:v>
      </x:c>
      <x:c r="B7" s="47" t="str">
        <x:v>Recheck 2 hours after last completed intervention</x:v>
      </x:c>
      <x:c r="C7" s="47" t="str">
        <x:v>Generate the next due time from actual completion time.</x:v>
      </x:c>
      <x:c r="D7" s="47" t="str">
        <x:v>Complete current event before the next due time is calculated.</x:v>
      </x:c>
      <x:c r="E7" s="47" t="str">
        <x:v>Use only when the approved plan/order defines a completion-based interval.</x:v>
      </x:c>
      <x:c r="F7" s="47"/>
      <x:c r="G7" s="47" t="str">
        <x:v>Interval / count</x:v>
      </x:c>
      <x:c r="H7" s="47" t="str">
        <x:v>Approved interval in hours/minutes or required occurrences per shift/day.</x:v>
      </x:c>
      <x:c r="I7" s="47"/>
      <x:c r="J7" s="47"/>
    </x:row>
    <x:row r="8" ht="44" customHeight="1">
      <x:c r="A8" s="47" t="str">
        <x:v>Times per shift</x:v>
      </x:c>
      <x:c r="B8" s="47" t="str">
        <x:v>Offer hydration 3 times per shift</x:v>
      </x:c>
      <x:c r="C8" s="47" t="str">
        <x:v>Generate the required number within defined shift windows.</x:v>
      </x:c>
      <x:c r="D8" s="47" t="str">
        <x:v>Record offer, amount accepted or valid exception.</x:v>
      </x:c>
      <x:c r="E8" s="47" t="str">
        <x:v>Review persistent poor intake/dehydration risk and missed rounds.</x:v>
      </x:c>
      <x:c r="F8" s="47"/>
      <x:c r="G8" s="47" t="str">
        <x:v>Active hours</x:v>
      </x:c>
      <x:c r="H8" s="47" t="str">
        <x:v>Defines when events generate, including while-awake and night-plan limitations.</x:v>
      </x:c>
      <x:c r="I8" s="47"/>
      <x:c r="J8" s="47"/>
    </x:row>
    <x:row r="9" ht="44" customHeight="1">
      <x:c r="A9" s="47" t="str">
        <x:v>Defined time window</x:v>
      </x:c>
      <x:c r="B9" s="47" t="str">
        <x:v>Morning hygiene 6:30–8:00 AM</x:v>
      </x:c>
      <x:c r="C9" s="47" t="str">
        <x:v>Generate one event within the approved window.</x:v>
      </x:c>
      <x:c r="D9" s="47" t="str">
        <x:v>Record completion time and assistance level.</x:v>
      </x:c>
      <x:c r="E9" s="47" t="str">
        <x:v>Late completion retains original window and variance.</x:v>
      </x:c>
      <x:c r="F9" s="47"/>
      <x:c r="G9" s="47" t="str">
        <x:v>Responsible role</x:v>
      </x:c>
      <x:c r="H9" s="47" t="str">
        <x:v>Caregiver, nurse or other authorized role according to scope and care plan.</x:v>
      </x:c>
      <x:c r="I9" s="47"/>
      <x:c r="J9" s="47"/>
    </x:row>
    <x:row r="10" ht="44" customHeight="1">
      <x:c r="A10" s="47" t="str">
        <x:v>While awake</x:v>
      </x:c>
      <x:c r="B10" s="47" t="str">
        <x:v>Toileting every 2 hours while awake</x:v>
      </x:c>
      <x:c r="C10" s="47" t="str">
        <x:v>Generate only during approved waking hours; do not wake unless night plan requires.</x:v>
      </x:c>
      <x:c r="D10" s="47" t="str">
        <x:v>Record offered/provided/result and refusal or unavailable status.</x:v>
      </x:c>
      <x:c r="E10" s="47" t="str">
        <x:v>Review new continence change, urinary symptoms, falls or increased assistance.</x:v>
      </x:c>
      <x:c r="F10" s="47"/>
      <x:c r="G10" s="47" t="str">
        <x:v>Criticality and grace period</x:v>
      </x:c>
      <x:c r="H10" s="47" t="str">
        <x:v>Defines due-soon, overdue and missed behavior; critical care requires earlier escalation.</x:v>
      </x:c>
      <x:c r="I10" s="47"/>
      <x:c r="J10" s="47"/>
    </x:row>
    <x:row r="11" ht="44" customHeight="1">
      <x:c r="A11" s="47" t="str">
        <x:v>Trigger-based / PRN</x:v>
      </x:c>
      <x:c r="B11" s="47" t="str">
        <x:v>Pain support when pain is reported</x:v>
      </x:c>
      <x:c r="C11" s="47" t="str">
        <x:v>Create an event only when the defined trigger occurs.</x:v>
      </x:c>
      <x:c r="D11" s="47" t="str">
        <x:v>Record trigger, intervention and response.</x:v>
      </x:c>
      <x:c r="E11" s="47" t="str">
        <x:v>Escalate according to parameters; do not schedule as a routine occurrence.</x:v>
      </x:c>
      <x:c r="F11" s="47"/>
      <x:c r="G11" s="47" t="str">
        <x:v>Resident-specific instruction</x:v>
      </x:c>
      <x:c r="H11" s="47" t="str">
        <x:v>Assistance, technique, device, positioning, precautions and preference.</x:v>
      </x:c>
      <x:c r="I11" s="47"/>
      <x:c r="J11" s="47"/>
    </x:row>
    <x:row r="12" ht="44" customHeight="1">
      <x:c r="A12" s="47" t="str">
        <x:v>Temporary frequency</x:v>
      </x:c>
      <x:c r="B12" s="47" t="str">
        <x:v>Vital signs every 4 hours for 72 hours</x:v>
      </x:c>
      <x:c r="C12" s="47" t="str">
        <x:v>Generate through the approved stop/review date, then stop or require renewal.</x:v>
      </x:c>
      <x:c r="D12" s="47" t="str">
        <x:v>Record each reading and related symptoms.</x:v>
      </x:c>
      <x:c r="E12" s="47" t="str">
        <x:v>Nurse reviews trends and confirms continuation, revision or discontinuation.</x:v>
      </x:c>
      <x:c r="F12" s="47"/>
      <x:c r="G12" s="47" t="str">
        <x:v>Completion fields</x:v>
      </x:c>
      <x:c r="H12" s="47" t="str">
        <x:v>Minimum structured result required for every occurrence.</x:v>
      </x:c>
      <x:c r="I12" s="47"/>
      <x:c r="J12" s="47"/>
    </x:row>
    <x:row r="13" ht="44" customHeight="1">
      <x:c r="A13" s="47"/>
      <x:c r="B13" s="47"/>
      <x:c r="C13" s="47"/>
      <x:c r="D13" s="47"/>
      <x:c r="E13" s="47"/>
      <x:c r="F13" s="47"/>
      <x:c r="G13" s="47" t="str">
        <x:v>Escalation parameters</x:v>
      </x:c>
      <x:c r="H13" s="47" t="str">
        <x:v>Resident-specific findings or exceptions requiring nurse review.</x:v>
      </x:c>
      <x:c r="I13" s="47"/>
      <x:c r="J13" s="47"/>
    </x:row>
    <x:row r="14" ht="44" customHeight="1">
      <x:c r="A14" s="47"/>
      <x:c r="B14" s="47"/>
      <x:c r="C14" s="47"/>
      <x:c r="D14" s="47"/>
      <x:c r="E14" s="47"/>
      <x:c r="F14" s="47"/>
      <x:c r="G14" s="47" t="str">
        <x:v>Effective and stop/review dates</x:v>
      </x:c>
      <x:c r="H14" s="47" t="str">
        <x:v>Controls activation and prevents temporary monitoring from continuing indefinitely.</x:v>
      </x:c>
      <x:c r="I14" s="47"/>
      <x:c r="J14" s="47"/>
    </x:row>
    <x:row r="15" ht="44" customHeight="1">
      <x:c r="A15" s="47"/>
      <x:c r="B15" s="47"/>
      <x:c r="C15" s="47"/>
      <x:c r="D15" s="47"/>
      <x:c r="E15" s="47"/>
      <x:c r="F15" s="47"/>
      <x:c r="G15" s="47" t="str">
        <x:v>Nursing approval</x:v>
      </x:c>
      <x:c r="H15" s="47" t="str">
        <x:v>No generated occurrence becomes active before approval.</x:v>
      </x:c>
      <x:c r="I15" s="47"/>
      <x:c r="J15" s="47"/>
    </x:row>
    <x:row r="16">
      <x:c r="A16" s="47"/>
      <x:c r="B16" s="47"/>
      <x:c r="C16" s="47"/>
      <x:c r="D16" s="47"/>
      <x:c r="E16" s="47"/>
      <x:c r="F16" s="47"/>
      <x:c r="G16" s="47"/>
      <x:c r="H16" s="47"/>
      <x:c r="I16" s="47"/>
      <x:c r="J16" s="47"/>
    </x:row>
    <x:row r="17">
      <x:c r="A17" s="77" t="str">
        <x:v>Worked example — scheduled toileting every 2 hours while awake</x:v>
      </x:c>
      <x:c r="B17" s="77"/>
      <x:c r="C17" s="77"/>
      <x:c r="D17" s="77"/>
      <x:c r="E17" s="77"/>
      <x:c r="F17" s="77"/>
      <x:c r="G17" s="77"/>
      <x:c r="H17" s="77"/>
      <x:c r="I17" s="77"/>
      <x:c r="J17" s="77"/>
    </x:row>
    <x:row r="18">
      <x:c r="A18" s="76" t="str">
        <x:v>Care-plan instruction: Offer toileting every 2 hours while awake, 6:00 AM–10:00 PM; use walker and standby assistance; do not wake solely for routine toileting unless the approved night plan requires it.</x:v>
      </x:c>
      <x:c r="B18" s="76"/>
      <x:c r="C18" s="76"/>
      <x:c r="D18" s="76"/>
      <x:c r="E18" s="76"/>
      <x:c r="F18" s="76"/>
      <x:c r="G18" s="76"/>
      <x:c r="H18" s="76"/>
      <x:c r="I18" s="76"/>
      <x:c r="J18" s="76"/>
    </x:row>
    <x:row r="19">
      <x:c r="A19" s="47"/>
      <x:c r="B19" s="47"/>
      <x:c r="C19" s="47"/>
      <x:c r="D19" s="47"/>
      <x:c r="E19" s="47"/>
      <x:c r="F19" s="47"/>
      <x:c r="G19" s="47"/>
      <x:c r="H19" s="47"/>
      <x:c r="I19" s="47"/>
      <x:c r="J19" s="47"/>
    </x:row>
    <x:row r="20">
      <x:c r="A20" s="47" t="str">
        <x:v>Care Day</x:v>
      </x:c>
      <x:c r="B20" s="47" t="str">
        <x:v>Scheduled Time</x:v>
      </x:c>
      <x:c r="C20" s="47" t="str">
        <x:v>Shift</x:v>
      </x:c>
      <x:c r="D20" s="47" t="str">
        <x:v>Actual Time</x:v>
      </x:c>
      <x:c r="E20" s="47" t="str">
        <x:v>Status</x:v>
      </x:c>
      <x:c r="F20" s="47" t="str">
        <x:v>Caregiver Result</x:v>
      </x:c>
      <x:c r="G20" s="47" t="str">
        <x:v>Exception / Variance</x:v>
      </x:c>
      <x:c r="H20" s="47" t="str">
        <x:v>Escalation</x:v>
      </x:c>
      <x:c r="I20" s="47" t="str">
        <x:v>Follow-up Owner</x:v>
      </x:c>
      <x:c r="J20" s="47" t="str">
        <x:v>Audit Rule</x:v>
      </x:c>
    </x:row>
    <x:row r="21" ht="40" customHeight="1">
      <x:c r="A21" s="47" t="str">
        <x:v>[yyyy-mm-dd]</x:v>
      </x:c>
      <x:c r="B21" s="47" t="str">
        <x:v>6:00 AM</x:v>
      </x:c>
      <x:c r="C21" s="47" t="str">
        <x:v>Morning</x:v>
      </x:c>
      <x:c r="D21" s="47" t="str">
        <x:v>6:05 AM</x:v>
      </x:c>
      <x:c r="E21" s="47" t="str">
        <x:v>Completed</x:v>
      </x:c>
      <x:c r="F21" s="47" t="str">
        <x:v>Toileting provided; walker + standby assist; continent.</x:v>
      </x:c>
      <x:c r="G21" s="47" t="str"/>
      <x:c r="H21" s="47" t="str">
        <x:v>No</x:v>
      </x:c>
      <x:c r="I21" s="47" t="str"/>
      <x:c r="J21" s="47" t="str">
        <x:v>Separate occurrence retained.</x:v>
      </x:c>
    </x:row>
    <x:row r="22" ht="40" customHeight="1">
      <x:c r="A22" s="47" t="str">
        <x:v>[yyyy-mm-dd]</x:v>
      </x:c>
      <x:c r="B22" s="47" t="str">
        <x:v>8:00 AM</x:v>
      </x:c>
      <x:c r="C22" s="47" t="str">
        <x:v>Morning</x:v>
      </x:c>
      <x:c r="D22" s="47" t="str">
        <x:v>8:03 AM</x:v>
      </x:c>
      <x:c r="E22" s="47" t="str">
        <x:v>Resident declined</x:v>
      </x:c>
      <x:c r="F22" s="47" t="str">
        <x:v>Offered; resident declined and denied discomfort.</x:v>
      </x:c>
      <x:c r="G22" s="47" t="str">
        <x:v>Declined</x:v>
      </x:c>
      <x:c r="H22" s="47" t="str">
        <x:v>P4—monitor</x:v>
      </x:c>
      <x:c r="I22" s="47" t="str">
        <x:v>Caregiver</x:v>
      </x:c>
      <x:c r="J22" s="47" t="str">
        <x:v>Not counted as completed.</x:v>
      </x:c>
    </x:row>
    <x:row r="23" ht="40" customHeight="1">
      <x:c r="A23" s="47" t="str">
        <x:v>[yyyy-mm-dd]</x:v>
      </x:c>
      <x:c r="B23" s="47" t="str">
        <x:v>10:00 AM</x:v>
      </x:c>
      <x:c r="C23" s="47" t="str">
        <x:v>Morning</x:v>
      </x:c>
      <x:c r="D23" s="47" t="str">
        <x:v>10:42 AM</x:v>
      </x:c>
      <x:c r="E23" s="47" t="str">
        <x:v>Completed with variance</x:v>
      </x:c>
      <x:c r="F23" s="47" t="str">
        <x:v>Toileting provided; no urinary symptoms.</x:v>
      </x:c>
      <x:c r="G23" s="47" t="str">
        <x:v>42 minutes late</x:v>
      </x:c>
      <x:c r="H23" s="47" t="str">
        <x:v>P3—review recurring delay</x:v>
      </x:c>
      <x:c r="I23" s="47" t="str">
        <x:v>Shift lead</x:v>
      </x:c>
      <x:c r="J23" s="47" t="str">
        <x:v>Scheduled and actual times both retained.</x:v>
      </x:c>
    </x:row>
    <x:row r="24" ht="40" customHeight="1">
      <x:c r="A24" s="47" t="str">
        <x:v>[yyyy-mm-dd]</x:v>
      </x:c>
      <x:c r="B24" s="47" t="str">
        <x:v>12:00 PM</x:v>
      </x:c>
      <x:c r="C24" s="47" t="str">
        <x:v>Morning</x:v>
      </x:c>
      <x:c r="D24" s="47" t="str">
        <x:v>12:02 PM</x:v>
      </x:c>
      <x:c r="E24" s="47" t="str">
        <x:v>Completed</x:v>
      </x:c>
      <x:c r="F24" s="47" t="str">
        <x:v>Toileting provided; standby assist.</x:v>
      </x:c>
      <x:c r="G24" s="47" t="str"/>
      <x:c r="H24" s="47" t="str">
        <x:v>No</x:v>
      </x:c>
      <x:c r="I24" s="47" t="str"/>
      <x:c r="J24" s="47" t="str">
        <x:v>Fixed schedule remains 12:00 PM despite prior late event.</x:v>
      </x:c>
    </x:row>
    <x:row r="25" ht="40" customHeight="1">
      <x:c r="A25" s="47" t="str">
        <x:v>[yyyy-mm-dd]</x:v>
      </x:c>
      <x:c r="B25" s="47" t="str">
        <x:v>2:00 PM</x:v>
      </x:c>
      <x:c r="C25" s="47" t="str">
        <x:v>Afternoon</x:v>
      </x:c>
      <x:c r="D25" s="47" t="str"/>
      <x:c r="E25" s="47" t="str">
        <x:v>Due</x:v>
      </x:c>
      <x:c r="F25" s="47" t="str"/>
      <x:c r="G25" s="47" t="str"/>
      <x:c r="H25" s="47" t="str"/>
      <x:c r="I25" s="47" t="str"/>
      <x:c r="J25" s="47" t="str">
        <x:v>Incoming shift accepts responsibility.</x:v>
      </x:c>
    </x:row>
    <x:row r="26" ht="40" customHeight="1">
      <x:c r="A26" s="47" t="str">
        <x:v>[yyyy-mm-dd]</x:v>
      </x:c>
      <x:c r="B26" s="47" t="str">
        <x:v>4:00 PM</x:v>
      </x:c>
      <x:c r="C26" s="47" t="str">
        <x:v>Afternoon</x:v>
      </x:c>
      <x:c r="D26" s="47" t="str"/>
      <x:c r="E26" s="47" t="str">
        <x:v>Upcoming</x:v>
      </x:c>
      <x:c r="F26" s="47" t="str"/>
      <x:c r="G26" s="47" t="str"/>
      <x:c r="H26" s="47" t="str"/>
      <x:c r="I26" s="47" t="str"/>
      <x:c r="J26" s="47" t="str">
        <x:v>New occurrence—not a rollover.</x:v>
      </x:c>
    </x:row>
    <x:row r="27" ht="40" customHeight="1">
      <x:c r="A27" s="47" t="str">
        <x:v>[yyyy-mm-dd]</x:v>
      </x:c>
      <x:c r="B27" s="47" t="str">
        <x:v>6:00 PM</x:v>
      </x:c>
      <x:c r="C27" s="47" t="str">
        <x:v>Afternoon</x:v>
      </x:c>
      <x:c r="D27" s="47" t="str"/>
      <x:c r="E27" s="47" t="str">
        <x:v>Upcoming</x:v>
      </x:c>
      <x:c r="F27" s="47" t="str"/>
      <x:c r="G27" s="47" t="str"/>
      <x:c r="H27" s="47" t="str"/>
      <x:c r="I27" s="47" t="str"/>
      <x:c r="J27" s="47" t="str">
        <x:v>New occurrence—not a rollover.</x:v>
      </x:c>
    </x:row>
    <x:row r="28" ht="40" customHeight="1">
      <x:c r="A28" s="47" t="str">
        <x:v>[yyyy-mm-dd]</x:v>
      </x:c>
      <x:c r="B28" s="47" t="str">
        <x:v>8:00 PM</x:v>
      </x:c>
      <x:c r="C28" s="47" t="str">
        <x:v>Afternoon</x:v>
      </x:c>
      <x:c r="D28" s="47" t="str"/>
      <x:c r="E28" s="47" t="str">
        <x:v>Upcoming</x:v>
      </x:c>
      <x:c r="F28" s="47" t="str"/>
      <x:c r="G28" s="47" t="str"/>
      <x:c r="H28" s="47" t="str"/>
      <x:c r="I28" s="47" t="str"/>
      <x:c r="J28" s="47" t="str">
        <x:v>New occurrence—not a rollover.</x:v>
      </x:c>
    </x:row>
    <x:row r="29" ht="40" customHeight="1">
      <x:c r="A29" s="47" t="str">
        <x:v>[yyyy-mm-dd]</x:v>
      </x:c>
      <x:c r="B29" s="47" t="str">
        <x:v>10:00 PM</x:v>
      </x:c>
      <x:c r="C29" s="47" t="str">
        <x:v>Night</x:v>
      </x:c>
      <x:c r="D29" s="47" t="str"/>
      <x:c r="E29" s="47" t="str">
        <x:v>Upcoming</x:v>
      </x:c>
      <x:c r="F29" s="47" t="str"/>
      <x:c r="G29" s="47" t="str"/>
      <x:c r="H29" s="47" t="str"/>
      <x:c r="I29" s="47" t="str"/>
      <x:c r="J29" s="47" t="str">
        <x:v>Last while-awake occurrence unless plan states otherwise.</x:v>
      </x:c>
    </x:row>
    <x:row r="30">
      <x:c r="A30" s="47"/>
      <x:c r="B30" s="47"/>
      <x:c r="C30" s="47"/>
      <x:c r="D30" s="47"/>
      <x:c r="E30" s="47"/>
      <x:c r="F30" s="47"/>
      <x:c r="G30" s="47"/>
      <x:c r="H30" s="47"/>
      <x:c r="I30" s="47"/>
      <x:c r="J30" s="47"/>
    </x:row>
    <x:row r="31">
      <x:c r="A31" s="47"/>
      <x:c r="B31" s="47"/>
      <x:c r="C31" s="47"/>
      <x:c r="D31" s="47"/>
      <x:c r="E31" s="47"/>
      <x:c r="F31" s="47"/>
      <x:c r="G31" s="47"/>
      <x:c r="H31" s="47"/>
      <x:c r="I31" s="47"/>
      <x:c r="J31" s="47"/>
    </x:row>
    <x:row r="32">
      <x:c r="A32" s="47"/>
      <x:c r="B32" s="47"/>
      <x:c r="C32" s="47"/>
      <x:c r="D32" s="47"/>
      <x:c r="E32" s="47"/>
      <x:c r="F32" s="47"/>
      <x:c r="G32" s="47"/>
      <x:c r="H32" s="47"/>
      <x:c r="I32" s="47"/>
      <x:c r="J32" s="47"/>
    </x:row>
    <x:row r="33">
      <x:c r="A33" s="47"/>
      <x:c r="B33" s="47"/>
      <x:c r="C33" s="47"/>
      <x:c r="D33" s="47"/>
      <x:c r="E33" s="47"/>
      <x:c r="F33" s="47"/>
      <x:c r="G33" s="47"/>
      <x:c r="H33" s="47"/>
      <x:c r="I33" s="47"/>
      <x:c r="J33" s="47"/>
    </x:row>
    <x:row r="34">
      <x:c r="A34" s="47" t="str">
        <x:v>Status</x:v>
      </x:c>
      <x:c r="B34" s="47" t="str">
        <x:v>Counts as Completed?</x:v>
      </x:c>
      <x:c r="C34" s="47" t="str">
        <x:v>Required Meaning</x:v>
      </x:c>
      <x:c r="D34" s="47"/>
      <x:c r="E34" s="47"/>
      <x:c r="F34" s="47"/>
      <x:c r="G34" s="47"/>
      <x:c r="H34" s="47"/>
      <x:c r="I34" s="47"/>
      <x:c r="J34" s="47"/>
    </x:row>
    <x:row r="35" ht="40" customHeight="1">
      <x:c r="A35" s="47" t="str">
        <x:v>Completed</x:v>
      </x:c>
      <x:c r="B35" s="47" t="str">
        <x:v>Yes</x:v>
      </x:c>
      <x:c r="C35" s="47" t="str">
        <x:v>Care was provided as planned and required result recorded.</x:v>
      </x:c>
      <x:c r="D35" s="47"/>
      <x:c r="E35" s="47"/>
      <x:c r="F35" s="47"/>
      <x:c r="G35" s="47"/>
      <x:c r="H35" s="47"/>
      <x:c r="I35" s="47"/>
      <x:c r="J35" s="47"/>
    </x:row>
    <x:row r="36" ht="40" customHeight="1">
      <x:c r="A36" s="47" t="str">
        <x:v>Completed with variance</x:v>
      </x:c>
      <x:c r="B36" s="47" t="str">
        <x:v>Yes, with review</x:v>
      </x:c>
      <x:c r="C36" s="47" t="str">
        <x:v>Care was provided differently or late; variance remains visible.</x:v>
      </x:c>
      <x:c r="D36" s="47"/>
      <x:c r="E36" s="47"/>
      <x:c r="F36" s="47"/>
      <x:c r="G36" s="47"/>
      <x:c r="H36" s="47"/>
      <x:c r="I36" s="47"/>
      <x:c r="J36" s="47"/>
    </x:row>
    <x:row r="37" ht="40" customHeight="1">
      <x:c r="A37" s="47" t="str">
        <x:v>Resident declined</x:v>
      </x:c>
      <x:c r="B37" s="47" t="str">
        <x:v>No</x:v>
      </x:c>
      <x:c r="C37" s="47" t="str">
        <x:v>Care was offered but declined.</x:v>
      </x:c>
      <x:c r="D37" s="47"/>
      <x:c r="E37" s="47"/>
      <x:c r="F37" s="47"/>
      <x:c r="G37" s="47"/>
      <x:c r="H37" s="47"/>
      <x:c r="I37" s="47"/>
      <x:c r="J37" s="47"/>
    </x:row>
    <x:row r="38" ht="40" customHeight="1">
      <x:c r="A38" s="47" t="str">
        <x:v>Unable / unavailable</x:v>
      </x:c>
      <x:c r="B38" s="47" t="str">
        <x:v>No</x:v>
      </x:c>
      <x:c r="C38" s="47" t="str">
        <x:v>Resident was asleep, away, hospitalized or otherwise unavailable.</x:v>
      </x:c>
      <x:c r="D38" s="47"/>
      <x:c r="E38" s="47"/>
      <x:c r="F38" s="47"/>
      <x:c r="G38" s="47"/>
      <x:c r="H38" s="47"/>
      <x:c r="I38" s="47"/>
      <x:c r="J38" s="47"/>
    </x:row>
    <x:row r="39" ht="40" customHeight="1">
      <x:c r="A39" s="47" t="str">
        <x:v>Unsafe to perform</x:v>
      </x:c>
      <x:c r="B39" s="47" t="str">
        <x:v>No</x:v>
      </x:c>
      <x:c r="C39" s="47" t="str">
        <x:v>Task was not performed because it would be unsafe.</x:v>
      </x:c>
      <x:c r="D39" s="47"/>
      <x:c r="E39" s="47"/>
      <x:c r="F39" s="47"/>
      <x:c r="G39" s="47"/>
      <x:c r="H39" s="47"/>
      <x:c r="I39" s="47"/>
      <x:c r="J39" s="47"/>
    </x:row>
    <x:row r="40" ht="40" customHeight="1">
      <x:c r="A40" s="47" t="str">
        <x:v>Clinical hold</x:v>
      </x:c>
      <x:c r="B40" s="47" t="str">
        <x:v>No</x:v>
      </x:c>
      <x:c r="C40" s="47" t="str">
        <x:v>Task was held for an authorized clinical reason.</x:v>
      </x:c>
      <x:c r="D40" s="47"/>
      <x:c r="E40" s="47"/>
      <x:c r="F40" s="47"/>
      <x:c r="G40" s="47"/>
      <x:c r="H40" s="47"/>
      <x:c r="I40" s="47"/>
      <x:c r="J40" s="47"/>
    </x:row>
    <x:row r="41" ht="40" customHeight="1">
      <x:c r="A41" s="47" t="str">
        <x:v>Overdue</x:v>
      </x:c>
      <x:c r="B41" s="47" t="str">
        <x:v>No</x:v>
      </x:c>
      <x:c r="C41" s="47" t="str">
        <x:v>Due window ended without completion or valid resolution.</x:v>
      </x:c>
      <x:c r="D41" s="47"/>
      <x:c r="E41" s="47"/>
      <x:c r="F41" s="47"/>
      <x:c r="G41" s="47"/>
      <x:c r="H41" s="47"/>
      <x:c r="I41" s="47"/>
      <x:c r="J41" s="47"/>
    </x:row>
    <x:row r="42" ht="40" customHeight="1">
      <x:c r="A42" s="47" t="str">
        <x:v>Missed</x:v>
      </x:c>
      <x:c r="B42" s="47" t="str">
        <x:v>No</x:v>
      </x:c>
      <x:c r="C42" s="47" t="str">
        <x:v>Occurrence closed without completion; remains in audit record.</x:v>
      </x:c>
      <x:c r="D42" s="47"/>
      <x:c r="E42" s="47"/>
      <x:c r="F42" s="47"/>
      <x:c r="G42" s="47"/>
      <x:c r="H42" s="47"/>
      <x:c r="I42" s="47"/>
      <x:c r="J42" s="47"/>
    </x:row>
    <x:row r="43" ht="40" customHeight="1">
      <x:c r="A43" s="47" t="str">
        <x:v>Escalated</x:v>
      </x:c>
      <x:c r="B43" s="47" t="str">
        <x:v>No by itself</x:v>
      </x:c>
      <x:c r="C43" s="47" t="str">
        <x:v>Concern was referred; escalation does not substitute for care delivery.</x:v>
      </x:c>
      <x:c r="D43" s="47"/>
      <x:c r="E43" s="47"/>
      <x:c r="F43" s="47"/>
      <x:c r="G43" s="47"/>
      <x:c r="H43" s="47"/>
      <x:c r="I43" s="47"/>
      <x:c r="J43" s="47"/>
    </x:row>
    <x:row r="44" ht="40" customHeight="1">
      <x:c r="A44" s="47" t="str">
        <x:v>Authorized cancellation</x:v>
      </x:c>
      <x:c r="B44" s="47" t="str">
        <x:v>No</x:v>
      </x:c>
      <x:c r="C44" s="47" t="str">
        <x:v>Authorized discontinuation/cancellation with reason and identity.</x:v>
      </x:c>
      <x:c r="D44" s="47"/>
      <x:c r="E44" s="47"/>
      <x:c r="F44" s="47"/>
      <x:c r="G44" s="47"/>
      <x:c r="H44" s="47"/>
      <x:c r="I44" s="47"/>
      <x:c r="J44" s="47"/>
    </x:row>
    <x:row r="45">
      <x:c r="A45" s="47"/>
      <x:c r="B45" s="47"/>
      <x:c r="C45" s="47"/>
      <x:c r="D45" s="47"/>
      <x:c r="E45" s="47"/>
      <x:c r="F45" s="47"/>
      <x:c r="G45" s="47"/>
      <x:c r="H45" s="47"/>
      <x:c r="I45" s="47"/>
      <x:c r="J45" s="47"/>
    </x:row>
    <x:row r="46">
      <x:c r="A46" s="79" t="str">
        <x:v>Implementation rule: an incomplete occurrence must never be silently marked complete or moved forward. The next recurring event may generate separately, while the original occurrence remains auditable.</x:v>
      </x:c>
      <x:c r="B46" s="79"/>
      <x:c r="C46" s="79"/>
      <x:c r="D46" s="79"/>
      <x:c r="E46" s="79"/>
      <x:c r="F46" s="79"/>
      <x:c r="G46" s="79"/>
      <x:c r="H46" s="79"/>
      <x:c r="I46" s="79"/>
      <x:c r="J46" s="79"/>
    </x:row>
  </x:sheetData>
  <x:mergeCells>
    <x:mergeCell ref="A1:J1"/>
    <x:mergeCell ref="A2:J2"/>
    <x:mergeCell ref="A17:J17"/>
    <x:mergeCell ref="A18:J18"/>
    <x:mergeCell ref="A46:J46"/>
  </x:mergeCells>
  <x:conditionalFormatting sqref="E21:E29">
    <x:cfRule type="containsText" dxfId="23" priority="1" operator="containsText" text="Completed"/>
    <x:cfRule type="containsText" dxfId="24" priority="2" operator="containsText" text="Missed"/>
    <x:cfRule type="containsText" dxfId="25" priority="3" operator="containsText" text="declined"/>
  </x:conditionalFormatting>
  <x:dataValidations count="2">
    <x:dataValidation type="list" sqref="E21:E29">
      <x:formula1>"Upcoming,Due,Completed,Completed with variance,Resident declined,Unable / unavailable,Unsafe to perform,Clinical hold,Overdue,Missed,Escalated,Authorized cancellation"</x:formula1>
    </x:dataValidation>
    <x:dataValidation type="list" sqref="H21:H29">
      <x:formula1>"No,P1—immediate,P2—urgent,P3—prompt follow-up,P4—monitor"</x:formula1>
    </x:dataValidation>
  </x:dataValidations>
  <x:pageMargins left="0.7" right="0.7" top="0.75" bottom="0.75" header="0.3" footer="0.3"/>
  <x:tableParts count="4">
    <x:tablePart xmlns:r="http://schemas.openxmlformats.org/officeDocument/2006/relationships" r:id="R14953e948319408f"/>
    <x:tablePart xmlns:r="http://schemas.openxmlformats.org/officeDocument/2006/relationships" r:id="R00e6c00976544475"/>
    <x:tablePart xmlns:r="http://schemas.openxmlformats.org/officeDocument/2006/relationships" r:id="R73a1fc3cbfb54ae8"/>
    <x:tablePart xmlns:r="http://schemas.openxmlformats.org/officeDocument/2006/relationships" r:id="R937e940d7c714d6a"/>
  </x:tableParts>
</x:worksheet>
</file>